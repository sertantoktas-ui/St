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kine Giris" sheetId="2" state="visible" r:id="rId2"/>
    <sheet name="Borulama Hesaplari" sheetId="3" state="visible" r:id="rId3"/>
    <sheet name="Boru Capi Tablosu" sheetId="4" state="visible" r:id="rId4"/>
    <sheet name="Filtre Secimi" sheetId="5" state="visible" r:id="rId5"/>
    <sheet name="Fan Secimi" sheetId="6" state="visible" r:id="rId6"/>
    <sheet name="Urun Veritabani" sheetId="7" state="visible" r:id="rId7"/>
    <sheet name="Teklif Ozeti" sheetId="8" state="visible" r:id="rId8"/>
  </sheets>
  <definedNames>
    <definedName name="ToplamHavaDebisi">'Borulama Hesaplari'!$E$4</definedName>
    <definedName name="AnaBoruCapi">'Borulama Hesaplari'!$E$8</definedName>
    <definedName name="ToplamBasincKaybi">'Fan Secimi'!$B$7</definedName>
    <definedName name="StandartCaplar">'Boru Capi Tablosu'!$B$5:$B$27</definedName>
    <definedName name="FiltreModeli">'Filtre Secimi'!$B$10</definedName>
    <definedName name="FanModeli">'Fan Secimi'!$B$14</definedName>
    <definedName name="FanMotorGucu">'Fan Secimi'!$B$29</definedName>
    <definedName name="EnerjiYillik">'Fan Secimi'!$B$31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000"/>
    <numFmt numFmtId="166" formatCode="dd.mm.yyyy"/>
    <numFmt numFmtId="167" formatCode="0.0"/>
    <numFmt numFmtId="168" formatCode="0.000"/>
    <numFmt numFmtId="169" formatCode="#,##0 &quot;m3/h&quot;"/>
    <numFmt numFmtId="170" formatCode="#,##0 &quot;mm&quot;"/>
    <numFmt numFmtId="171" formatCode="0.0 &quot;m/s&quot;"/>
    <numFmt numFmtId="172" formatCode="#,##0 &quot;Pa&quot;"/>
    <numFmt numFmtId="173" formatCode="0.0 &quot;kW&quot;"/>
    <numFmt numFmtId="174" formatCode="#,##0 &quot;kWh&quot;"/>
    <numFmt numFmtId="175" formatCode="#,##0.0 &quot;m2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C00000"/>
      <sz val="9"/>
    </font>
    <font>
      <name val="Calibri"/>
      <b val="1"/>
      <color rgb="00FFFFFF"/>
      <sz val="10"/>
    </font>
    <font>
      <name val="Calibri"/>
      <i val="1"/>
      <color rgb="00555555"/>
      <sz val="10"/>
    </font>
    <font>
      <b val="1"/>
    </font>
    <font>
      <name val="Calibri"/>
      <b val="1"/>
      <color rgb="001F3864"/>
      <sz val="10"/>
    </font>
    <font>
      <name val="Calibri"/>
      <b val="1"/>
      <color rgb="000033CC"/>
      <sz val="10"/>
    </font>
    <font>
      <name val="Calibri"/>
      <color rgb="00000000"/>
      <sz val="10"/>
    </font>
    <font>
      <b val="1"/>
      <sz val="11"/>
    </font>
    <font>
      <name val="Calibri"/>
      <b val="1"/>
      <color rgb="001F3864"/>
      <sz val="11"/>
    </font>
    <font>
      <b val="1"/>
      <color rgb="001F3864"/>
      <sz val="11"/>
    </font>
    <font>
      <b val="1"/>
      <color rgb="001F3864"/>
      <sz val="12"/>
    </font>
    <font>
      <b val="1"/>
      <color rgb="001F3864"/>
      <sz val="13"/>
    </font>
    <font>
      <i val="1"/>
      <color rgb="00777777"/>
      <sz val="9"/>
    </font>
    <font>
      <b val="1"/>
      <color rgb="00FFFFFF"/>
      <sz val="10"/>
    </font>
    <font>
      <b val="1"/>
      <color rgb="001F3864"/>
      <sz val="1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15" fillId="3" borderId="1" applyAlignment="1" pivotButton="0" quotePrefix="0" xfId="0">
      <alignment horizontal="center"/>
    </xf>
    <xf numFmtId="0" fontId="0" fillId="0" borderId="1" pivotButton="0" quotePrefix="0" xfId="0"/>
    <xf numFmtId="169" fontId="16" fillId="6" borderId="1" applyAlignment="1" pivotButton="0" quotePrefix="0" xfId="0">
      <alignment horizontal="center" vertical="center"/>
    </xf>
    <xf numFmtId="170" fontId="16" fillId="6" borderId="1" applyAlignment="1" pivotButton="0" quotePrefix="0" xfId="0">
      <alignment horizontal="center" vertical="center"/>
    </xf>
    <xf numFmtId="171" fontId="16" fillId="6" borderId="1" applyAlignment="1" pivotButton="0" quotePrefix="0" xfId="0">
      <alignment horizontal="center" vertical="center"/>
    </xf>
    <xf numFmtId="172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173" fontId="16" fillId="6" borderId="1" applyAlignment="1" pivotButton="0" quotePrefix="0" xfId="0">
      <alignment horizontal="center" vertical="center"/>
    </xf>
    <xf numFmtId="174" fontId="16" fillId="6" borderId="1" applyAlignment="1" pivotButton="0" quotePrefix="0" xfId="0">
      <alignment horizontal="center" vertical="center"/>
    </xf>
    <xf numFmtId="175" fontId="16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3" fillId="3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/>
    </xf>
    <xf numFmtId="166" fontId="7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1" fontId="7" fillId="5" borderId="1" applyAlignment="1" pivotButton="0" quotePrefix="0" xfId="0">
      <alignment horizontal="center"/>
    </xf>
    <xf numFmtId="3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3" fontId="10" fillId="6" borderId="1" applyAlignment="1" pivotButton="0" quotePrefix="0" xfId="0">
      <alignment horizontal="center"/>
    </xf>
    <xf numFmtId="0" fontId="11" fillId="7" borderId="2" applyAlignment="1" pivotButton="0" quotePrefix="0" xfId="0">
      <alignment horizontal="left" vertical="center" indent="1"/>
    </xf>
    <xf numFmtId="0" fontId="0" fillId="7" borderId="2" pivotButton="0" quotePrefix="0" xfId="0"/>
    <xf numFmtId="164" fontId="7" fillId="5" borderId="1" applyAlignment="1" pivotButton="0" quotePrefix="0" xfId="0">
      <alignment horizontal="center"/>
    </xf>
    <xf numFmtId="168" fontId="8" fillId="6" borderId="1" applyAlignment="1" pivotButton="0" quotePrefix="0" xfId="0">
      <alignment horizontal="center"/>
    </xf>
    <xf numFmtId="165" fontId="8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2" fontId="10" fillId="6" borderId="1" applyAlignment="1" pivotButton="0" quotePrefix="0" xfId="0">
      <alignment horizontal="center"/>
    </xf>
    <xf numFmtId="167" fontId="7" fillId="5" borderId="1" applyAlignment="1" pivotButton="0" quotePrefix="0" xfId="0">
      <alignment horizontal="center"/>
    </xf>
    <xf numFmtId="2" fontId="8" fillId="6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12" fillId="0" borderId="0" pivotButton="0" quotePrefix="0" xfId="0"/>
    <xf numFmtId="3" fontId="13" fillId="8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2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 wrapText="1"/>
    </xf>
    <xf numFmtId="3" fontId="10" fillId="8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7" fontId="10" fillId="6" borderId="1" applyAlignment="1" pivotButton="0" quotePrefix="0" xfId="0">
      <alignment horizontal="center"/>
    </xf>
    <xf numFmtId="164" fontId="1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wrapText="1"/>
    </xf>
    <xf numFmtId="0" fontId="14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Basinc Kaybi Bilesenleri (Pa)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'Dashboard'!$A$12:$A$14</f>
            </numRef>
          </cat>
          <val>
            <numRef>
              <f>'Dashboard'!$B$12:$B$14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Makine Bazli Toplam Debi (m3/h)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'Makine Giris'!J4</f>
            </strRef>
          </tx>
          <spPr>
            <a:ln>
              <a:prstDash val="solid"/>
            </a:ln>
          </spPr>
          <cat>
            <numRef>
              <f>'Makine Giris'!$B$5:$B$24</f>
            </numRef>
          </cat>
          <val>
            <numRef>
              <f>'Makine Giris'!$J$5:$J$24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m3/h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UrunDB" displayName="tblUrunDB" ref="A4:M44" headerRowCount="1">
  <autoFilter ref="A4:M44"/>
  <tableColumns count="13">
    <tableColumn id="1" name="Marka"/>
    <tableColumn id="2" name="Urun Kodu"/>
    <tableColumn id="3" name="Urun Tipi"/>
    <tableColumn id="4" name="Cap (mm)"/>
    <tableColumn id="5" name="Debi (m3/h)"/>
    <tableColumn id="6" name="Basinc (Pa)"/>
    <tableColumn id="7" name="Motor Gucu (kW)"/>
    <tableColumn id="8" name="Filtre Alani (m2)"/>
    <tableColumn id="9" name="Fan Devri (rpm)"/>
    <tableColumn id="10" name="Fan Verimi (%)"/>
    <tableColumn id="11" name="Hava Tanki Hacmi (m3)"/>
    <tableColumn id="12" name="Temizlik Sistemi"/>
    <tableColumn id="13" name="Aciklam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26" customWidth="1" min="4" max="4"/>
    <col width="18" customWidth="1" min="5" max="5"/>
    <col width="4" customWidth="1" min="6" max="6"/>
    <col width="26" customWidth="1" min="7" max="7"/>
    <col width="18" customWidth="1" min="8" max="8"/>
  </cols>
  <sheetData>
    <row r="1" ht="30" customHeight="1">
      <c r="A1" s="1" t="inlineStr">
        <is>
          <t>TOZ EMME SISTEMI - GOSTERGE PANELI (DASHBOARD)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Toplam Hava Debisi</t>
        </is>
      </c>
      <c r="B3" s="4" t="n"/>
      <c r="D3" s="3" t="inlineStr">
        <is>
          <t>Ana Boru Capi</t>
        </is>
      </c>
      <c r="E3" s="4" t="n"/>
      <c r="G3" s="3" t="inlineStr">
        <is>
          <t>Gercek Hava Hizi</t>
        </is>
      </c>
      <c r="H3" s="4" t="n"/>
    </row>
    <row r="4" ht="30" customHeight="1">
      <c r="A4" s="5">
        <f>'Borulama Hesaplari'!E4</f>
        <v/>
      </c>
      <c r="B4" s="4" t="n"/>
      <c r="D4" s="6">
        <f>'Borulama Hesaplari'!E8</f>
        <v/>
      </c>
      <c r="E4" s="4" t="n"/>
      <c r="G4" s="7">
        <f>'Borulama Hesaplari'!E10</f>
        <v/>
      </c>
      <c r="H4" s="4" t="n"/>
    </row>
    <row r="5">
      <c r="A5" s="3" t="inlineStr">
        <is>
          <t>Toplam Basinc Kaybi</t>
        </is>
      </c>
      <c r="B5" s="4" t="n"/>
      <c r="D5" s="3" t="inlineStr">
        <is>
          <t>Secilen Filtre</t>
        </is>
      </c>
      <c r="E5" s="4" t="n"/>
      <c r="G5" s="3" t="inlineStr">
        <is>
          <t>Secilen Fan</t>
        </is>
      </c>
      <c r="H5" s="4" t="n"/>
    </row>
    <row r="6" ht="30" customHeight="1">
      <c r="A6" s="8">
        <f>'Fan Secimi'!B7</f>
        <v/>
      </c>
      <c r="B6" s="4" t="n"/>
      <c r="D6" s="9">
        <f>'Filtre Secimi'!B10</f>
        <v/>
      </c>
      <c r="E6" s="4" t="n"/>
      <c r="G6" s="9">
        <f>'Fan Secimi'!B14</f>
        <v/>
      </c>
      <c r="H6" s="4" t="n"/>
    </row>
    <row r="7">
      <c r="A7" s="3" t="inlineStr">
        <is>
          <t>Fan Motor Gucu</t>
        </is>
      </c>
      <c r="B7" s="4" t="n"/>
      <c r="D7" s="3" t="inlineStr">
        <is>
          <t>Yillik Enerji Tuketimi</t>
        </is>
      </c>
      <c r="E7" s="4" t="n"/>
      <c r="G7" s="3" t="inlineStr">
        <is>
          <t>Filtre Alani</t>
        </is>
      </c>
      <c r="H7" s="4" t="n"/>
    </row>
    <row r="8" ht="30" customHeight="1">
      <c r="A8" s="10">
        <f>'Fan Secimi'!B29</f>
        <v/>
      </c>
      <c r="B8" s="4" t="n"/>
      <c r="D8" s="11">
        <f>'Fan Secimi'!B31</f>
        <v/>
      </c>
      <c r="E8" s="4" t="n"/>
      <c r="G8" s="12">
        <f>'Filtre Secimi'!B12</f>
        <v/>
      </c>
      <c r="H8" s="4" t="n"/>
    </row>
    <row r="10">
      <c r="A10" s="13" t="inlineStr">
        <is>
          <t>BASINC KAYBI BILESENLERI</t>
        </is>
      </c>
      <c r="B10" s="14" t="n"/>
      <c r="C10" s="14" t="n"/>
      <c r="D10" s="14" t="n"/>
    </row>
    <row r="11" ht="32" customHeight="1">
      <c r="A11" s="15" t="inlineStr">
        <is>
          <t>Bilesen</t>
        </is>
      </c>
      <c r="B11" s="15" t="inlineStr">
        <is>
          <t>Deger (Pa)</t>
        </is>
      </c>
    </row>
    <row r="12">
      <c r="A12" s="4" t="inlineStr">
        <is>
          <t>Statik (Surtunme) Kaybi</t>
        </is>
      </c>
      <c r="B12" s="16">
        <f>'Borulama Hesaplari'!E14</f>
        <v/>
      </c>
    </row>
    <row r="13">
      <c r="A13" s="4" t="inlineStr">
        <is>
          <t>Dinamik (Yerel) Kaybi</t>
        </is>
      </c>
      <c r="B13" s="16">
        <f>'Borulama Hesaplari'!E16</f>
        <v/>
      </c>
    </row>
    <row r="14">
      <c r="A14" s="4" t="inlineStr">
        <is>
          <t>Filtre Basinc Kaybi</t>
        </is>
      </c>
      <c r="B14" s="16">
        <f>'Filtre Secimi'!B23</f>
        <v/>
      </c>
    </row>
    <row r="27">
      <c r="A27" s="13" t="inlineStr">
        <is>
          <t>MAKINE BAZLI HAVA DEBISI DAGILIMI</t>
        </is>
      </c>
      <c r="B27" s="14" t="n"/>
      <c r="C27" s="14" t="n"/>
      <c r="D27" s="14" t="n"/>
      <c r="E27" s="14" t="n"/>
      <c r="F27" s="14" t="n"/>
      <c r="G27" s="14" t="n"/>
      <c r="H27" s="14" t="n"/>
    </row>
  </sheetData>
  <mergeCells count="21">
    <mergeCell ref="A1:H1"/>
    <mergeCell ref="G8:H8"/>
    <mergeCell ref="A10:D10"/>
    <mergeCell ref="A6:B6"/>
    <mergeCell ref="D6:E6"/>
    <mergeCell ref="A7:B7"/>
    <mergeCell ref="G7:H7"/>
    <mergeCell ref="G6:H6"/>
    <mergeCell ref="A27:H27"/>
    <mergeCell ref="A3:B3"/>
    <mergeCell ref="G3:H3"/>
    <mergeCell ref="D7:E7"/>
    <mergeCell ref="A5:B5"/>
    <mergeCell ref="G5:H5"/>
    <mergeCell ref="D4:E4"/>
    <mergeCell ref="A8:B8"/>
    <mergeCell ref="D3:E3"/>
    <mergeCell ref="A4:B4"/>
    <mergeCell ref="G4:H4"/>
    <mergeCell ref="D8:E8"/>
    <mergeCell ref="D5: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9" customWidth="1" min="4" max="4"/>
    <col width="10" customWidth="1" min="5" max="5"/>
    <col width="12" customWidth="1" min="6" max="6"/>
    <col width="14" customWidth="1" min="7" max="7"/>
    <col width="12" customWidth="1" min="8" max="8"/>
    <col width="11" customWidth="1" min="9" max="9"/>
    <col width="13" customWidth="1" min="10" max="10"/>
    <col width="13" customWidth="1" min="11" max="11"/>
    <col width="16" customWidth="1" min="12" max="12"/>
  </cols>
  <sheetData>
    <row r="1" ht="26" customHeight="1">
      <c r="A1" s="1" t="inlineStr">
        <is>
          <t>MAKINE GIRIS SAYFASI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7" t="inlineStr">
        <is>
          <t>Proje Adi:</t>
        </is>
      </c>
      <c r="B2" s="18" t="inlineStr"/>
      <c r="D2" s="17" t="inlineStr">
        <is>
          <t>Tarih:</t>
        </is>
      </c>
      <c r="E2" s="19" t="n"/>
      <c r="G2" s="17" t="inlineStr">
        <is>
          <t>Hazirlayan:</t>
        </is>
      </c>
      <c r="H2" s="18" t="inlineStr"/>
    </row>
    <row r="4" ht="32" customHeight="1">
      <c r="A4" s="15" t="inlineStr">
        <is>
          <t>No</t>
        </is>
      </c>
      <c r="B4" s="15" t="inlineStr">
        <is>
          <t>Makine Adi</t>
        </is>
      </c>
      <c r="C4" s="15" t="inlineStr">
        <is>
          <t>Makine Tipi</t>
        </is>
      </c>
      <c r="D4" s="15" t="inlineStr">
        <is>
          <t>Makine
Adedi</t>
        </is>
      </c>
      <c r="E4" s="15" t="inlineStr">
        <is>
          <t>Emis
Noktasi Sayisi</t>
        </is>
      </c>
      <c r="F4" s="15" t="inlineStr">
        <is>
          <t>Emis Noktasi
Capi (mm)</t>
        </is>
      </c>
      <c r="G4" s="15" t="inlineStr">
        <is>
          <t>Makine Hava
Debisi (m3/h)</t>
        </is>
      </c>
      <c r="H4" s="15" t="inlineStr">
        <is>
          <t>Eszamanli
Calisma K.(%)</t>
        </is>
      </c>
      <c r="I4" s="15" t="inlineStr">
        <is>
          <t>Calisma
Suresi (sa/gun)</t>
        </is>
      </c>
      <c r="J4" s="15" t="inlineStr">
        <is>
          <t>Toplam Debi
(m3/h)</t>
        </is>
      </c>
      <c r="K4" s="15" t="inlineStr">
        <is>
          <t>Gunluk Tuketim
(m3/gun)</t>
        </is>
      </c>
      <c r="L4" s="15" t="inlineStr">
        <is>
          <t>Durum</t>
        </is>
      </c>
    </row>
    <row r="5" ht="18" customHeight="1">
      <c r="A5" s="20" t="n">
        <v>1</v>
      </c>
      <c r="B5" s="18" t="inlineStr"/>
      <c r="C5" s="18" t="inlineStr"/>
      <c r="D5" s="21" t="inlineStr"/>
      <c r="E5" s="21" t="inlineStr"/>
      <c r="F5" s="21" t="inlineStr"/>
      <c r="G5" s="21" t="inlineStr"/>
      <c r="H5" s="22" t="n">
        <v>100</v>
      </c>
      <c r="I5" s="22" t="n">
        <v>8</v>
      </c>
      <c r="J5" s="23">
        <f>IF(B5="","",D5*G5*(H5/100))</f>
        <v/>
      </c>
      <c r="K5" s="23">
        <f>IF(B5="","",J5*I5)</f>
        <v/>
      </c>
      <c r="L5" s="24">
        <f>IF(B5="","Bos Satir",IF(OR(D5&lt;=0,G5&lt;=0,H5&lt;=0,H5&gt;100),"HATA: Kontrol Et","OK"))</f>
        <v/>
      </c>
    </row>
    <row r="6" ht="18" customHeight="1">
      <c r="A6" s="20" t="n">
        <v>2</v>
      </c>
      <c r="B6" s="18" t="inlineStr"/>
      <c r="C6" s="18" t="inlineStr"/>
      <c r="D6" s="21" t="inlineStr"/>
      <c r="E6" s="21" t="inlineStr"/>
      <c r="F6" s="21" t="inlineStr"/>
      <c r="G6" s="21" t="inlineStr"/>
      <c r="H6" s="22" t="n">
        <v>100</v>
      </c>
      <c r="I6" s="22" t="n">
        <v>8</v>
      </c>
      <c r="J6" s="23">
        <f>IF(B6="","",D6*G6*(H6/100))</f>
        <v/>
      </c>
      <c r="K6" s="23">
        <f>IF(B6="","",J6*I6)</f>
        <v/>
      </c>
      <c r="L6" s="24">
        <f>IF(B6="","Bos Satir",IF(OR(D6&lt;=0,G6&lt;=0,H6&lt;=0,H6&gt;100),"HATA: Kontrol Et","OK"))</f>
        <v/>
      </c>
    </row>
    <row r="7" ht="18" customHeight="1">
      <c r="A7" s="20" t="n">
        <v>3</v>
      </c>
      <c r="B7" s="18" t="inlineStr"/>
      <c r="C7" s="18" t="inlineStr"/>
      <c r="D7" s="21" t="inlineStr"/>
      <c r="E7" s="21" t="inlineStr"/>
      <c r="F7" s="21" t="inlineStr"/>
      <c r="G7" s="21" t="inlineStr"/>
      <c r="H7" s="22" t="n">
        <v>100</v>
      </c>
      <c r="I7" s="22" t="n">
        <v>8</v>
      </c>
      <c r="J7" s="23">
        <f>IF(B7="","",D7*G7*(H7/100))</f>
        <v/>
      </c>
      <c r="K7" s="23">
        <f>IF(B7="","",J7*I7)</f>
        <v/>
      </c>
      <c r="L7" s="24">
        <f>IF(B7="","Bos Satir",IF(OR(D7&lt;=0,G7&lt;=0,H7&lt;=0,H7&gt;100),"HATA: Kontrol Et","OK"))</f>
        <v/>
      </c>
    </row>
    <row r="8" ht="18" customHeight="1">
      <c r="A8" s="20" t="n">
        <v>4</v>
      </c>
      <c r="B8" s="18" t="inlineStr"/>
      <c r="C8" s="18" t="inlineStr"/>
      <c r="D8" s="21" t="inlineStr"/>
      <c r="E8" s="21" t="inlineStr"/>
      <c r="F8" s="21" t="inlineStr"/>
      <c r="G8" s="21" t="inlineStr"/>
      <c r="H8" s="22" t="n">
        <v>100</v>
      </c>
      <c r="I8" s="22" t="n">
        <v>8</v>
      </c>
      <c r="J8" s="23">
        <f>IF(B8="","",D8*G8*(H8/100))</f>
        <v/>
      </c>
      <c r="K8" s="23">
        <f>IF(B8="","",J8*I8)</f>
        <v/>
      </c>
      <c r="L8" s="24">
        <f>IF(B8="","Bos Satir",IF(OR(D8&lt;=0,G8&lt;=0,H8&lt;=0,H8&gt;100),"HATA: Kontrol Et","OK"))</f>
        <v/>
      </c>
    </row>
    <row r="9" ht="18" customHeight="1">
      <c r="A9" s="20" t="n">
        <v>5</v>
      </c>
      <c r="B9" s="18" t="inlineStr"/>
      <c r="C9" s="18" t="inlineStr"/>
      <c r="D9" s="21" t="inlineStr"/>
      <c r="E9" s="21" t="inlineStr"/>
      <c r="F9" s="21" t="inlineStr"/>
      <c r="G9" s="21" t="inlineStr"/>
      <c r="H9" s="22" t="n">
        <v>100</v>
      </c>
      <c r="I9" s="22" t="n">
        <v>8</v>
      </c>
      <c r="J9" s="23">
        <f>IF(B9="","",D9*G9*(H9/100))</f>
        <v/>
      </c>
      <c r="K9" s="23">
        <f>IF(B9="","",J9*I9)</f>
        <v/>
      </c>
      <c r="L9" s="24">
        <f>IF(B9="","Bos Satir",IF(OR(D9&lt;=0,G9&lt;=0,H9&lt;=0,H9&gt;100),"HATA: Kontrol Et","OK"))</f>
        <v/>
      </c>
    </row>
    <row r="10" ht="18" customHeight="1">
      <c r="A10" s="20" t="n">
        <v>6</v>
      </c>
      <c r="B10" s="18" t="inlineStr"/>
      <c r="C10" s="18" t="inlineStr"/>
      <c r="D10" s="21" t="inlineStr"/>
      <c r="E10" s="21" t="inlineStr"/>
      <c r="F10" s="21" t="inlineStr"/>
      <c r="G10" s="21" t="inlineStr"/>
      <c r="H10" s="22" t="n">
        <v>100</v>
      </c>
      <c r="I10" s="22" t="n">
        <v>8</v>
      </c>
      <c r="J10" s="23">
        <f>IF(B10="","",D10*G10*(H10/100))</f>
        <v/>
      </c>
      <c r="K10" s="23">
        <f>IF(B10="","",J10*I10)</f>
        <v/>
      </c>
      <c r="L10" s="24">
        <f>IF(B10="","Bos Satir",IF(OR(D10&lt;=0,G10&lt;=0,H10&lt;=0,H10&gt;100),"HATA: Kontrol Et","OK"))</f>
        <v/>
      </c>
    </row>
    <row r="11" ht="18" customHeight="1">
      <c r="A11" s="20" t="n">
        <v>7</v>
      </c>
      <c r="B11" s="18" t="inlineStr"/>
      <c r="C11" s="18" t="inlineStr"/>
      <c r="D11" s="21" t="inlineStr"/>
      <c r="E11" s="21" t="inlineStr"/>
      <c r="F11" s="21" t="inlineStr"/>
      <c r="G11" s="21" t="inlineStr"/>
      <c r="H11" s="22" t="n">
        <v>100</v>
      </c>
      <c r="I11" s="22" t="n">
        <v>8</v>
      </c>
      <c r="J11" s="23">
        <f>IF(B11="","",D11*G11*(H11/100))</f>
        <v/>
      </c>
      <c r="K11" s="23">
        <f>IF(B11="","",J11*I11)</f>
        <v/>
      </c>
      <c r="L11" s="24">
        <f>IF(B11="","Bos Satir",IF(OR(D11&lt;=0,G11&lt;=0,H11&lt;=0,H11&gt;100),"HATA: Kontrol Et","OK"))</f>
        <v/>
      </c>
    </row>
    <row r="12" ht="18" customHeight="1">
      <c r="A12" s="20" t="n">
        <v>8</v>
      </c>
      <c r="B12" s="18" t="inlineStr"/>
      <c r="C12" s="18" t="inlineStr"/>
      <c r="D12" s="21" t="inlineStr"/>
      <c r="E12" s="21" t="inlineStr"/>
      <c r="F12" s="21" t="inlineStr"/>
      <c r="G12" s="21" t="inlineStr"/>
      <c r="H12" s="22" t="n">
        <v>100</v>
      </c>
      <c r="I12" s="22" t="n">
        <v>8</v>
      </c>
      <c r="J12" s="23">
        <f>IF(B12="","",D12*G12*(H12/100))</f>
        <v/>
      </c>
      <c r="K12" s="23">
        <f>IF(B12="","",J12*I12)</f>
        <v/>
      </c>
      <c r="L12" s="24">
        <f>IF(B12="","Bos Satir",IF(OR(D12&lt;=0,G12&lt;=0,H12&lt;=0,H12&gt;100),"HATA: Kontrol Et","OK"))</f>
        <v/>
      </c>
    </row>
    <row r="13" ht="18" customHeight="1">
      <c r="A13" s="20" t="n">
        <v>9</v>
      </c>
      <c r="B13" s="18" t="inlineStr"/>
      <c r="C13" s="18" t="inlineStr"/>
      <c r="D13" s="21" t="inlineStr"/>
      <c r="E13" s="21" t="inlineStr"/>
      <c r="F13" s="21" t="inlineStr"/>
      <c r="G13" s="21" t="inlineStr"/>
      <c r="H13" s="22" t="n">
        <v>100</v>
      </c>
      <c r="I13" s="22" t="n">
        <v>8</v>
      </c>
      <c r="J13" s="23">
        <f>IF(B13="","",D13*G13*(H13/100))</f>
        <v/>
      </c>
      <c r="K13" s="23">
        <f>IF(B13="","",J13*I13)</f>
        <v/>
      </c>
      <c r="L13" s="24">
        <f>IF(B13="","Bos Satir",IF(OR(D13&lt;=0,G13&lt;=0,H13&lt;=0,H13&gt;100),"HATA: Kontrol Et","OK"))</f>
        <v/>
      </c>
    </row>
    <row r="14" ht="18" customHeight="1">
      <c r="A14" s="20" t="n">
        <v>10</v>
      </c>
      <c r="B14" s="18" t="inlineStr"/>
      <c r="C14" s="18" t="inlineStr"/>
      <c r="D14" s="21" t="inlineStr"/>
      <c r="E14" s="21" t="inlineStr"/>
      <c r="F14" s="21" t="inlineStr"/>
      <c r="G14" s="21" t="inlineStr"/>
      <c r="H14" s="22" t="n">
        <v>100</v>
      </c>
      <c r="I14" s="22" t="n">
        <v>8</v>
      </c>
      <c r="J14" s="23">
        <f>IF(B14="","",D14*G14*(H14/100))</f>
        <v/>
      </c>
      <c r="K14" s="23">
        <f>IF(B14="","",J14*I14)</f>
        <v/>
      </c>
      <c r="L14" s="24">
        <f>IF(B14="","Bos Satir",IF(OR(D14&lt;=0,G14&lt;=0,H14&lt;=0,H14&gt;100),"HATA: Kontrol Et","OK"))</f>
        <v/>
      </c>
    </row>
    <row r="15" ht="18" customHeight="1">
      <c r="A15" s="20" t="n">
        <v>11</v>
      </c>
      <c r="B15" s="18" t="inlineStr"/>
      <c r="C15" s="18" t="inlineStr"/>
      <c r="D15" s="21" t="inlineStr"/>
      <c r="E15" s="21" t="inlineStr"/>
      <c r="F15" s="21" t="inlineStr"/>
      <c r="G15" s="21" t="inlineStr"/>
      <c r="H15" s="22" t="n">
        <v>100</v>
      </c>
      <c r="I15" s="22" t="n">
        <v>8</v>
      </c>
      <c r="J15" s="23">
        <f>IF(B15="","",D15*G15*(H15/100))</f>
        <v/>
      </c>
      <c r="K15" s="23">
        <f>IF(B15="","",J15*I15)</f>
        <v/>
      </c>
      <c r="L15" s="24">
        <f>IF(B15="","Bos Satir",IF(OR(D15&lt;=0,G15&lt;=0,H15&lt;=0,H15&gt;100),"HATA: Kontrol Et","OK"))</f>
        <v/>
      </c>
    </row>
    <row r="16" ht="18" customHeight="1">
      <c r="A16" s="20" t="n">
        <v>12</v>
      </c>
      <c r="B16" s="18" t="inlineStr"/>
      <c r="C16" s="18" t="inlineStr"/>
      <c r="D16" s="21" t="inlineStr"/>
      <c r="E16" s="21" t="inlineStr"/>
      <c r="F16" s="21" t="inlineStr"/>
      <c r="G16" s="21" t="inlineStr"/>
      <c r="H16" s="22" t="n">
        <v>100</v>
      </c>
      <c r="I16" s="22" t="n">
        <v>8</v>
      </c>
      <c r="J16" s="23">
        <f>IF(B16="","",D16*G16*(H16/100))</f>
        <v/>
      </c>
      <c r="K16" s="23">
        <f>IF(B16="","",J16*I16)</f>
        <v/>
      </c>
      <c r="L16" s="24">
        <f>IF(B16="","Bos Satir",IF(OR(D16&lt;=0,G16&lt;=0,H16&lt;=0,H16&gt;100),"HATA: Kontrol Et","OK"))</f>
        <v/>
      </c>
    </row>
    <row r="17" ht="18" customHeight="1">
      <c r="A17" s="20" t="n">
        <v>13</v>
      </c>
      <c r="B17" s="18" t="inlineStr"/>
      <c r="C17" s="18" t="inlineStr"/>
      <c r="D17" s="21" t="inlineStr"/>
      <c r="E17" s="21" t="inlineStr"/>
      <c r="F17" s="21" t="inlineStr"/>
      <c r="G17" s="21" t="inlineStr"/>
      <c r="H17" s="22" t="n">
        <v>100</v>
      </c>
      <c r="I17" s="22" t="n">
        <v>8</v>
      </c>
      <c r="J17" s="23">
        <f>IF(B17="","",D17*G17*(H17/100))</f>
        <v/>
      </c>
      <c r="K17" s="23">
        <f>IF(B17="","",J17*I17)</f>
        <v/>
      </c>
      <c r="L17" s="24">
        <f>IF(B17="","Bos Satir",IF(OR(D17&lt;=0,G17&lt;=0,H17&lt;=0,H17&gt;100),"HATA: Kontrol Et","OK"))</f>
        <v/>
      </c>
    </row>
    <row r="18" ht="18" customHeight="1">
      <c r="A18" s="20" t="n">
        <v>14</v>
      </c>
      <c r="B18" s="18" t="inlineStr"/>
      <c r="C18" s="18" t="inlineStr"/>
      <c r="D18" s="21" t="inlineStr"/>
      <c r="E18" s="21" t="inlineStr"/>
      <c r="F18" s="21" t="inlineStr"/>
      <c r="G18" s="21" t="inlineStr"/>
      <c r="H18" s="22" t="n">
        <v>100</v>
      </c>
      <c r="I18" s="22" t="n">
        <v>8</v>
      </c>
      <c r="J18" s="23">
        <f>IF(B18="","",D18*G18*(H18/100))</f>
        <v/>
      </c>
      <c r="K18" s="23">
        <f>IF(B18="","",J18*I18)</f>
        <v/>
      </c>
      <c r="L18" s="24">
        <f>IF(B18="","Bos Satir",IF(OR(D18&lt;=0,G18&lt;=0,H18&lt;=0,H18&gt;100),"HATA: Kontrol Et","OK"))</f>
        <v/>
      </c>
    </row>
    <row r="19" ht="18" customHeight="1">
      <c r="A19" s="20" t="n">
        <v>15</v>
      </c>
      <c r="B19" s="18" t="inlineStr"/>
      <c r="C19" s="18" t="inlineStr"/>
      <c r="D19" s="21" t="inlineStr"/>
      <c r="E19" s="21" t="inlineStr"/>
      <c r="F19" s="21" t="inlineStr"/>
      <c r="G19" s="21" t="inlineStr"/>
      <c r="H19" s="22" t="n">
        <v>100</v>
      </c>
      <c r="I19" s="22" t="n">
        <v>8</v>
      </c>
      <c r="J19" s="23">
        <f>IF(B19="","",D19*G19*(H19/100))</f>
        <v/>
      </c>
      <c r="K19" s="23">
        <f>IF(B19="","",J19*I19)</f>
        <v/>
      </c>
      <c r="L19" s="24">
        <f>IF(B19="","Bos Satir",IF(OR(D19&lt;=0,G19&lt;=0,H19&lt;=0,H19&gt;100),"HATA: Kontrol Et","OK"))</f>
        <v/>
      </c>
    </row>
    <row r="20" ht="18" customHeight="1">
      <c r="A20" s="20" t="n">
        <v>16</v>
      </c>
      <c r="B20" s="18" t="inlineStr"/>
      <c r="C20" s="18" t="inlineStr"/>
      <c r="D20" s="21" t="inlineStr"/>
      <c r="E20" s="21" t="inlineStr"/>
      <c r="F20" s="21" t="inlineStr"/>
      <c r="G20" s="21" t="inlineStr"/>
      <c r="H20" s="22" t="n">
        <v>100</v>
      </c>
      <c r="I20" s="22" t="n">
        <v>8</v>
      </c>
      <c r="J20" s="23">
        <f>IF(B20="","",D20*G20*(H20/100))</f>
        <v/>
      </c>
      <c r="K20" s="23">
        <f>IF(B20="","",J20*I20)</f>
        <v/>
      </c>
      <c r="L20" s="24">
        <f>IF(B20="","Bos Satir",IF(OR(D20&lt;=0,G20&lt;=0,H20&lt;=0,H20&gt;100),"HATA: Kontrol Et","OK"))</f>
        <v/>
      </c>
    </row>
    <row r="21" ht="18" customHeight="1">
      <c r="A21" s="20" t="n">
        <v>17</v>
      </c>
      <c r="B21" s="18" t="inlineStr"/>
      <c r="C21" s="18" t="inlineStr"/>
      <c r="D21" s="21" t="inlineStr"/>
      <c r="E21" s="21" t="inlineStr"/>
      <c r="F21" s="21" t="inlineStr"/>
      <c r="G21" s="21" t="inlineStr"/>
      <c r="H21" s="22" t="n">
        <v>100</v>
      </c>
      <c r="I21" s="22" t="n">
        <v>8</v>
      </c>
      <c r="J21" s="23">
        <f>IF(B21="","",D21*G21*(H21/100))</f>
        <v/>
      </c>
      <c r="K21" s="23">
        <f>IF(B21="","",J21*I21)</f>
        <v/>
      </c>
      <c r="L21" s="24">
        <f>IF(B21="","Bos Satir",IF(OR(D21&lt;=0,G21&lt;=0,H21&lt;=0,H21&gt;100),"HATA: Kontrol Et","OK"))</f>
        <v/>
      </c>
    </row>
    <row r="22" ht="18" customHeight="1">
      <c r="A22" s="20" t="n">
        <v>18</v>
      </c>
      <c r="B22" s="18" t="inlineStr"/>
      <c r="C22" s="18" t="inlineStr"/>
      <c r="D22" s="21" t="inlineStr"/>
      <c r="E22" s="21" t="inlineStr"/>
      <c r="F22" s="21" t="inlineStr"/>
      <c r="G22" s="21" t="inlineStr"/>
      <c r="H22" s="22" t="n">
        <v>100</v>
      </c>
      <c r="I22" s="22" t="n">
        <v>8</v>
      </c>
      <c r="J22" s="23">
        <f>IF(B22="","",D22*G22*(H22/100))</f>
        <v/>
      </c>
      <c r="K22" s="23">
        <f>IF(B22="","",J22*I22)</f>
        <v/>
      </c>
      <c r="L22" s="24">
        <f>IF(B22="","Bos Satir",IF(OR(D22&lt;=0,G22&lt;=0,H22&lt;=0,H22&gt;100),"HATA: Kontrol Et","OK"))</f>
        <v/>
      </c>
    </row>
    <row r="23" ht="18" customHeight="1">
      <c r="A23" s="20" t="n">
        <v>19</v>
      </c>
      <c r="B23" s="18" t="inlineStr"/>
      <c r="C23" s="18" t="inlineStr"/>
      <c r="D23" s="21" t="inlineStr"/>
      <c r="E23" s="21" t="inlineStr"/>
      <c r="F23" s="21" t="inlineStr"/>
      <c r="G23" s="21" t="inlineStr"/>
      <c r="H23" s="22" t="n">
        <v>100</v>
      </c>
      <c r="I23" s="22" t="n">
        <v>8</v>
      </c>
      <c r="J23" s="23">
        <f>IF(B23="","",D23*G23*(H23/100))</f>
        <v/>
      </c>
      <c r="K23" s="23">
        <f>IF(B23="","",J23*I23)</f>
        <v/>
      </c>
      <c r="L23" s="24">
        <f>IF(B23="","Bos Satir",IF(OR(D23&lt;=0,G23&lt;=0,H23&lt;=0,H23&gt;100),"HATA: Kontrol Et","OK"))</f>
        <v/>
      </c>
    </row>
    <row r="24" ht="18" customHeight="1">
      <c r="A24" s="20" t="n">
        <v>20</v>
      </c>
      <c r="B24" s="18" t="inlineStr"/>
      <c r="C24" s="18" t="inlineStr"/>
      <c r="D24" s="21" t="inlineStr"/>
      <c r="E24" s="21" t="inlineStr"/>
      <c r="F24" s="21" t="inlineStr"/>
      <c r="G24" s="21" t="inlineStr"/>
      <c r="H24" s="22" t="n">
        <v>100</v>
      </c>
      <c r="I24" s="22" t="n">
        <v>8</v>
      </c>
      <c r="J24" s="23">
        <f>IF(B24="","",D24*G24*(H24/100))</f>
        <v/>
      </c>
      <c r="K24" s="23">
        <f>IF(B24="","",J24*I24)</f>
        <v/>
      </c>
      <c r="L24" s="24">
        <f>IF(B24="","Bos Satir",IF(OR(D24&lt;=0,G24&lt;=0,H24&lt;=0,H24&gt;100),"HATA: Kontrol Et","OK"))</f>
        <v/>
      </c>
    </row>
    <row r="25" ht="20" customHeight="1">
      <c r="B25" s="25" t="inlineStr">
        <is>
          <t>TOPLAM</t>
        </is>
      </c>
      <c r="J25" s="26">
        <f>SUM(J5:J24)</f>
        <v/>
      </c>
      <c r="K25" s="26">
        <f>SUM(K5:K24)</f>
        <v/>
      </c>
    </row>
  </sheetData>
  <mergeCells count="3">
    <mergeCell ref="B25:I25"/>
    <mergeCell ref="A1:L1"/>
    <mergeCell ref="I2:L2"/>
  </mergeCells>
  <conditionalFormatting sqref="L5:L24">
    <cfRule type="expression" priority="1" dxfId="0">
      <formula>ISNUMBER(SEARCH("HATA",L5))</formula>
    </cfRule>
    <cfRule type="expression" priority="2" dxfId="1">
      <formula>L5="OK"</formula>
    </cfRule>
  </conditionalFormatting>
  <dataValidations count="3">
    <dataValidation sqref="C5:C24" showDropDown="0" showInputMessage="0" showErrorMessage="1" allowBlank="1" errorTitle="Gecersiz Tip" error="Listeden bir makine tipi seciniz." type="list">
      <formula1>"Planya,Kalinlik Makinesi,Serit Testere,Daire Testere,CNC Router,Zimpara Makinesi,Delik Makinesi,Pres,Diger"</formula1>
    </dataValidation>
    <dataValidation sqref="H5:H24" showDropDown="0" showInputMessage="0" showErrorMessage="1" allowBlank="1" errorTitle="Gecersiz Deger" error="Eszamanli calisma katsayisi 0-100 arasinda olmalidir." type="decimal" operator="between">
      <formula1>0</formula1>
      <formula2>100</formula2>
    </dataValidation>
    <dataValidation sqref="D5:G24 I5:I24" showDropDown="0" showInputMessage="0" showErrorMessage="1" allowBlank="1" errorTitle="Gecersiz Deger" error="Negatif deger girilemez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10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" customWidth="1" min="3" max="3"/>
    <col width="40" customWidth="1" min="4" max="4"/>
    <col width="16" customWidth="1" min="5" max="5"/>
  </cols>
  <sheetData>
    <row r="1" ht="26" customHeight="1">
      <c r="A1" s="1" t="inlineStr">
        <is>
          <t>BORULAMA HESAPLARI</t>
        </is>
      </c>
      <c r="B1" s="2" t="n"/>
      <c r="C1" s="2" t="n"/>
      <c r="D1" s="2" t="n"/>
      <c r="E1" s="2" t="n"/>
    </row>
    <row r="3">
      <c r="A3" s="13" t="inlineStr">
        <is>
          <t>GIRIS VERILERI</t>
        </is>
      </c>
      <c r="B3" s="14" t="n"/>
    </row>
    <row r="4">
      <c r="A4" s="27" t="inlineStr"/>
      <c r="B4" s="28" t="n"/>
      <c r="D4" s="17" t="inlineStr">
        <is>
          <t>Toplam Hava Debisi (m3/h)</t>
        </is>
      </c>
      <c r="E4" s="23">
        <f>IFERROR('Makine Giris'!J25,0)</f>
        <v/>
      </c>
    </row>
    <row r="5">
      <c r="A5" s="17" t="inlineStr">
        <is>
          <t>Bransman (Dal Hatti) Uzunlugu (m)</t>
        </is>
      </c>
      <c r="B5" s="29" t="n">
        <v>25</v>
      </c>
      <c r="D5" s="17" t="inlineStr">
        <is>
          <t>Toplam Hava Debisi (m3/s)</t>
        </is>
      </c>
      <c r="E5" s="30">
        <f>E4/3600</f>
        <v/>
      </c>
    </row>
    <row r="6">
      <c r="A6" s="17" t="inlineStr">
        <is>
          <t>45 derece Dirsek Sayisi (adet)</t>
        </is>
      </c>
      <c r="B6" s="22" t="n">
        <v>4</v>
      </c>
      <c r="D6" s="17" t="inlineStr">
        <is>
          <t>Gerekli Boru Kesit Alani (m2)</t>
        </is>
      </c>
      <c r="E6" s="31">
        <f>E5/B11</f>
        <v/>
      </c>
    </row>
    <row r="7">
      <c r="A7" s="17" t="inlineStr">
        <is>
          <t>90 derece Dirsek Sayisi (adet)</t>
        </is>
      </c>
      <c r="B7" s="22" t="n">
        <v>6</v>
      </c>
      <c r="D7" s="17" t="inlineStr">
        <is>
          <t>Gerekli Boru Capi (mm)</t>
        </is>
      </c>
      <c r="E7" s="32">
        <f>SQRT(4*E6/PI())*1000</f>
        <v/>
      </c>
    </row>
    <row r="8">
      <c r="A8" s="17" t="inlineStr">
        <is>
          <t>T Baglanti Sayisi (adet)</t>
        </is>
      </c>
      <c r="B8" s="22" t="n">
        <v>5</v>
      </c>
      <c r="D8" s="17" t="inlineStr">
        <is>
          <t>Onerilen Standart Cap (mm)</t>
        </is>
      </c>
      <c r="E8" s="26">
        <f>_xlfn.XLOOKUP(E7,'Boru Capi Tablosu'!$B$5:$B$27,'Boru Capi Tablosu'!$B$5:$B$27,,1)</f>
        <v/>
      </c>
    </row>
    <row r="9">
      <c r="A9" s="17" t="inlineStr">
        <is>
          <t>Reduksiyon Sayisi (adet)</t>
        </is>
      </c>
      <c r="B9" s="22" t="n">
        <v>3</v>
      </c>
      <c r="D9" s="17" t="inlineStr">
        <is>
          <t>Secilen Borunun Kesit Alani (m2)</t>
        </is>
      </c>
      <c r="E9" s="31">
        <f>PI()/4*(E8/1000)^2</f>
        <v/>
      </c>
    </row>
    <row r="10">
      <c r="A10" s="17" t="inlineStr">
        <is>
          <t>Boru Malzemesi</t>
        </is>
      </c>
      <c r="B10" s="18" t="inlineStr">
        <is>
          <t>Galvanizli Sac</t>
        </is>
      </c>
      <c r="D10" s="17" t="inlineStr">
        <is>
          <t>Gercek Hava Hizi (m/s)</t>
        </is>
      </c>
      <c r="E10" s="33">
        <f>E5/E9</f>
        <v/>
      </c>
    </row>
    <row r="11">
      <c r="A11" s="17" t="inlineStr">
        <is>
          <t>Hedef Tasima Hizi (m/s)</t>
        </is>
      </c>
      <c r="B11" s="34" t="n">
        <v>22</v>
      </c>
      <c r="D11" s="17" t="inlineStr">
        <is>
          <t>Hava Yogunlugu (kg/m3)</t>
        </is>
      </c>
      <c r="E11" s="35">
        <f>1.2</f>
        <v/>
      </c>
    </row>
    <row r="12">
      <c r="A12" s="17" t="inlineStr">
        <is>
          <t>Guvenlik Payi (%)</t>
        </is>
      </c>
      <c r="B12" s="22" t="n">
        <v>15</v>
      </c>
      <c r="D12" s="17" t="inlineStr">
        <is>
          <t>Surtunme Katsayisi - lambda</t>
        </is>
      </c>
      <c r="E12" s="30">
        <f>_xlfn.XLOOKUP(B10,$A$16:$A$19,$B$16:$B$19)</f>
        <v/>
      </c>
    </row>
    <row r="13">
      <c r="D13" s="17" t="inlineStr">
        <is>
          <t>Toplam Hat Uzunlugu (m)</t>
        </is>
      </c>
      <c r="E13" s="32">
        <f>B4+B5</f>
        <v/>
      </c>
    </row>
    <row r="14">
      <c r="A14" s="13" t="inlineStr">
        <is>
          <t>MALZEME SURTUNME KATSAYISI (lambda)</t>
        </is>
      </c>
      <c r="B14" s="14" t="n"/>
      <c r="D14" s="17" t="inlineStr">
        <is>
          <t>Statik (Surtunme) Basinc Kaybi (Pa)</t>
        </is>
      </c>
      <c r="E14" s="23">
        <f>E12*(E13/(E8/1000))*(E11*E10^2/2)</f>
        <v/>
      </c>
    </row>
    <row r="15" ht="32" customHeight="1">
      <c r="A15" s="15" t="inlineStr">
        <is>
          <t>Boru Malzemesi</t>
        </is>
      </c>
      <c r="B15" s="15" t="inlineStr">
        <is>
          <t>Lambda</t>
        </is>
      </c>
      <c r="D15" s="17" t="inlineStr">
        <is>
          <t>Yerel Direnc Katsayilari Toplami (sigma-zeta)</t>
        </is>
      </c>
      <c r="E15" s="35">
        <f>B6*0.15+B7*0.3+B8*1+B9*0.2</f>
        <v/>
      </c>
    </row>
    <row r="16">
      <c r="A16" s="4" t="inlineStr">
        <is>
          <t>Galvanizli Sac</t>
        </is>
      </c>
      <c r="B16" s="36" t="n">
        <v>0.02</v>
      </c>
      <c r="D16" s="17" t="inlineStr">
        <is>
          <t>Dinamik (Yerel) Basinc Kaybi (Pa)</t>
        </is>
      </c>
      <c r="E16" s="23">
        <f>E15*(E11*E10^2/2)</f>
        <v/>
      </c>
    </row>
    <row r="17">
      <c r="A17" s="4" t="inlineStr">
        <is>
          <t>Paslanmaz Celik</t>
        </is>
      </c>
      <c r="B17" s="36" t="n">
        <v>0.018</v>
      </c>
      <c r="D17" s="17" t="inlineStr">
        <is>
          <t>Ara Toplam Basinc Kaybi (Pa)</t>
        </is>
      </c>
      <c r="E17" s="23">
        <f>E14+E16</f>
        <v/>
      </c>
    </row>
    <row r="18">
      <c r="A18" s="4" t="inlineStr">
        <is>
          <t>Spiral Sac</t>
        </is>
      </c>
      <c r="B18" s="36" t="n">
        <v>0.022</v>
      </c>
      <c r="D18" s="17" t="inlineStr">
        <is>
          <t>Guvenlik Payi Eklenmis Toplam Basinc Kaybi (Pa)</t>
        </is>
      </c>
      <c r="E18" s="26">
        <f>E17*(1+B12/100)</f>
        <v/>
      </c>
    </row>
    <row r="19">
      <c r="A19" s="4" t="inlineStr">
        <is>
          <t>PVC</t>
        </is>
      </c>
      <c r="B19" s="36" t="n">
        <v>0.025</v>
      </c>
      <c r="D19" s="37" t="inlineStr">
        <is>
          <t>TOPLAM SISTEM BASINC KAYBI (Pa)</t>
        </is>
      </c>
      <c r="E19" s="38">
        <f>E18</f>
        <v/>
      </c>
    </row>
    <row r="20" ht="28" customHeight="1">
      <c r="D20" s="17" t="inlineStr">
        <is>
          <t>Hiz Kontrolu / Uyari</t>
        </is>
      </c>
      <c r="E20" s="39">
        <f>IF(E10&lt;18,"UYARI: Hiz dusuk - boru icinde toz cokebilir",IF(E10&gt;30,"UYARI: Hiz yuksek - asinma/enerji kaybi riski","Hiz uygun (18-28 m/s)"))</f>
        <v/>
      </c>
    </row>
    <row r="22">
      <c r="A22" s="13" t="inlineStr">
        <is>
          <t>YEREL DIRENC (ZETA) KATSAYILARI</t>
        </is>
      </c>
      <c r="B22" s="14" t="n"/>
    </row>
    <row r="23" ht="32" customHeight="1">
      <c r="A23" s="15" t="inlineStr">
        <is>
          <t>Eleman</t>
        </is>
      </c>
      <c r="B23" s="15" t="inlineStr">
        <is>
          <t>Zeta</t>
        </is>
      </c>
    </row>
    <row r="24">
      <c r="A24" s="4" t="inlineStr">
        <is>
          <t>45 derece Dirsek</t>
        </is>
      </c>
      <c r="B24" s="40" t="n">
        <v>0.15</v>
      </c>
    </row>
    <row r="25">
      <c r="A25" s="4" t="inlineStr">
        <is>
          <t>90 derece Dirsek</t>
        </is>
      </c>
      <c r="B25" s="40" t="n">
        <v>0.3</v>
      </c>
    </row>
    <row r="26">
      <c r="A26" s="4" t="inlineStr">
        <is>
          <t>T Baglanti</t>
        </is>
      </c>
      <c r="B26" s="40" t="n">
        <v>1</v>
      </c>
    </row>
    <row r="27">
      <c r="A27" s="4" t="inlineStr">
        <is>
          <t>Reduksiyon</t>
        </is>
      </c>
      <c r="B27" s="40" t="n">
        <v>0.2</v>
      </c>
    </row>
  </sheetData>
  <mergeCells count="5">
    <mergeCell ref="A4:B4"/>
    <mergeCell ref="A14:B14"/>
    <mergeCell ref="A1:E1"/>
    <mergeCell ref="A3:B3"/>
    <mergeCell ref="A22:B22"/>
  </mergeCells>
  <conditionalFormatting sqref="E10">
    <cfRule type="cellIs" priority="1" operator="between" dxfId="1">
      <formula>18</formula>
      <formula>28</formula>
    </cfRule>
    <cfRule type="cellIs" priority="2" operator="lessThan" dxfId="0">
      <formula>18</formula>
    </cfRule>
    <cfRule type="cellIs" priority="3" operator="greaterThan" dxfId="0">
      <formula>30</formula>
    </cfRule>
    <cfRule type="cellIs" priority="4" operator="between" dxfId="2">
      <formula>28</formula>
      <formula>30</formula>
    </cfRule>
  </conditionalFormatting>
  <conditionalFormatting sqref="E20">
    <cfRule type="expression" priority="5" dxfId="0">
      <formula>ISNUMBER(SEARCH("UYARI",E20))</formula>
    </cfRule>
    <cfRule type="expression" priority="6" dxfId="1">
      <formula>E20="Hiz uygun (18-28 m/s)"</formula>
    </cfRule>
  </conditionalFormatting>
  <dataValidations count="2">
    <dataValidation sqref="B10" showDropDown="0" showInputMessage="0" showErrorMessage="1" allowBlank="0" errorTitle="Gecersiz Malzeme" error="Listeden boru malzemesi seciniz." type="list">
      <formula1>"Galvanizli Sac,Paslanmaz Celik,Spiral Sac,PVC"</formula1>
    </dataValidation>
    <dataValidation sqref="B11" showDropDown="0" showInputMessage="0" showErrorMessage="1" allowBlank="1" errorTitle="Hiz Araligi Disi" error="Hedef hiz 10-35 m/s araliginda olmalidir." type="decimal" operator="between">
      <formula1>10</formula1>
      <formula2>35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10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</cols>
  <sheetData>
    <row r="1" ht="26" customHeight="1">
      <c r="A1" s="1" t="inlineStr">
        <is>
          <t>STANDART BORU CAPI SECIM TABLOSU (mm)</t>
        </is>
      </c>
      <c r="B1" s="2" t="n"/>
      <c r="C1" s="2" t="n"/>
      <c r="D1" s="2" t="n"/>
    </row>
    <row r="2" ht="28" customHeight="1">
      <c r="A2" s="41" t="inlineStr">
        <is>
          <t>Sistemde kullanilan standart spiral/duz dikiş boru capi serisi. Hesap sayfalari bu listeden bir ust standart capi otomatik secer (XLOOKUP, esit-veya-buyuk esleme).</t>
        </is>
      </c>
    </row>
    <row r="4" ht="32" customHeight="1">
      <c r="A4" s="15" t="inlineStr">
        <is>
          <t>Sira</t>
        </is>
      </c>
      <c r="B4" s="15" t="inlineStr">
        <is>
          <t>Standart Cap (mm)</t>
        </is>
      </c>
      <c r="C4" s="15" t="inlineStr">
        <is>
          <t>Kesit Alani (m2)</t>
        </is>
      </c>
      <c r="D4" s="15" t="inlineStr">
        <is>
          <t>Tavsiye Edilen Hiz Araligi (m/s)</t>
        </is>
      </c>
    </row>
    <row r="5">
      <c r="A5" s="20" t="n">
        <v>1</v>
      </c>
      <c r="B5" s="42" t="n">
        <v>80</v>
      </c>
      <c r="C5" s="43">
        <f>PI()/4*(B5/1000)^2</f>
        <v/>
      </c>
      <c r="D5" s="20" t="inlineStr">
        <is>
          <t>18 - 28 m/s (ahsap tozu tasima)</t>
        </is>
      </c>
    </row>
    <row r="6">
      <c r="A6" s="44" t="n">
        <v>2</v>
      </c>
      <c r="B6" s="45" t="n">
        <v>100</v>
      </c>
      <c r="C6" s="46">
        <f>PI()/4*(B6/1000)^2</f>
        <v/>
      </c>
      <c r="D6" s="44" t="inlineStr">
        <is>
          <t>18 - 28 m/s (ahsap tozu tasima)</t>
        </is>
      </c>
    </row>
    <row r="7">
      <c r="A7" s="20" t="n">
        <v>3</v>
      </c>
      <c r="B7" s="42" t="n">
        <v>120</v>
      </c>
      <c r="C7" s="43">
        <f>PI()/4*(B7/1000)^2</f>
        <v/>
      </c>
      <c r="D7" s="20" t="inlineStr">
        <is>
          <t>18 - 28 m/s (ahsap tozu tasima)</t>
        </is>
      </c>
    </row>
    <row r="8">
      <c r="A8" s="44" t="n">
        <v>4</v>
      </c>
      <c r="B8" s="45" t="n">
        <v>125</v>
      </c>
      <c r="C8" s="46">
        <f>PI()/4*(B8/1000)^2</f>
        <v/>
      </c>
      <c r="D8" s="44" t="inlineStr">
        <is>
          <t>18 - 28 m/s (ahsap tozu tasima)</t>
        </is>
      </c>
    </row>
    <row r="9">
      <c r="A9" s="20" t="n">
        <v>5</v>
      </c>
      <c r="B9" s="42" t="n">
        <v>140</v>
      </c>
      <c r="C9" s="43">
        <f>PI()/4*(B9/1000)^2</f>
        <v/>
      </c>
      <c r="D9" s="20" t="inlineStr">
        <is>
          <t>18 - 28 m/s (ahsap tozu tasima)</t>
        </is>
      </c>
    </row>
    <row r="10">
      <c r="A10" s="44" t="n">
        <v>6</v>
      </c>
      <c r="B10" s="45" t="n">
        <v>150</v>
      </c>
      <c r="C10" s="46">
        <f>PI()/4*(B10/1000)^2</f>
        <v/>
      </c>
      <c r="D10" s="44" t="inlineStr">
        <is>
          <t>18 - 28 m/s (ahsap tozu tasima)</t>
        </is>
      </c>
    </row>
    <row r="11">
      <c r="A11" s="20" t="n">
        <v>7</v>
      </c>
      <c r="B11" s="42" t="n">
        <v>160</v>
      </c>
      <c r="C11" s="43">
        <f>PI()/4*(B11/1000)^2</f>
        <v/>
      </c>
      <c r="D11" s="20" t="inlineStr">
        <is>
          <t>18 - 28 m/s (ahsap tozu tasima)</t>
        </is>
      </c>
    </row>
    <row r="12">
      <c r="A12" s="44" t="n">
        <v>8</v>
      </c>
      <c r="B12" s="45" t="n">
        <v>180</v>
      </c>
      <c r="C12" s="46">
        <f>PI()/4*(B12/1000)^2</f>
        <v/>
      </c>
      <c r="D12" s="44" t="inlineStr">
        <is>
          <t>18 - 28 m/s (ahsap tozu tasima)</t>
        </is>
      </c>
    </row>
    <row r="13">
      <c r="A13" s="20" t="n">
        <v>9</v>
      </c>
      <c r="B13" s="42" t="n">
        <v>200</v>
      </c>
      <c r="C13" s="43">
        <f>PI()/4*(B13/1000)^2</f>
        <v/>
      </c>
      <c r="D13" s="20" t="inlineStr">
        <is>
          <t>18 - 28 m/s (ahsap tozu tasima)</t>
        </is>
      </c>
    </row>
    <row r="14">
      <c r="A14" s="44" t="n">
        <v>10</v>
      </c>
      <c r="B14" s="45" t="n">
        <v>220</v>
      </c>
      <c r="C14" s="46">
        <f>PI()/4*(B14/1000)^2</f>
        <v/>
      </c>
      <c r="D14" s="44" t="inlineStr">
        <is>
          <t>18 - 28 m/s (ahsap tozu tasima)</t>
        </is>
      </c>
    </row>
    <row r="15">
      <c r="A15" s="20" t="n">
        <v>11</v>
      </c>
      <c r="B15" s="42" t="n">
        <v>250</v>
      </c>
      <c r="C15" s="43">
        <f>PI()/4*(B15/1000)^2</f>
        <v/>
      </c>
      <c r="D15" s="20" t="inlineStr">
        <is>
          <t>18 - 28 m/s (ahsap tozu tasima)</t>
        </is>
      </c>
    </row>
    <row r="16">
      <c r="A16" s="44" t="n">
        <v>12</v>
      </c>
      <c r="B16" s="45" t="n">
        <v>280</v>
      </c>
      <c r="C16" s="46">
        <f>PI()/4*(B16/1000)^2</f>
        <v/>
      </c>
      <c r="D16" s="44" t="inlineStr">
        <is>
          <t>18 - 28 m/s (ahsap tozu tasima)</t>
        </is>
      </c>
    </row>
    <row r="17">
      <c r="A17" s="20" t="n">
        <v>13</v>
      </c>
      <c r="B17" s="42" t="n">
        <v>300</v>
      </c>
      <c r="C17" s="43">
        <f>PI()/4*(B17/1000)^2</f>
        <v/>
      </c>
      <c r="D17" s="20" t="inlineStr">
        <is>
          <t>18 - 28 m/s (ahsap tozu tasima)</t>
        </is>
      </c>
    </row>
    <row r="18">
      <c r="A18" s="44" t="n">
        <v>14</v>
      </c>
      <c r="B18" s="45" t="n">
        <v>315</v>
      </c>
      <c r="C18" s="46">
        <f>PI()/4*(B18/1000)^2</f>
        <v/>
      </c>
      <c r="D18" s="44" t="inlineStr">
        <is>
          <t>18 - 28 m/s (ahsap tozu tasima)</t>
        </is>
      </c>
    </row>
    <row r="19">
      <c r="A19" s="20" t="n">
        <v>15</v>
      </c>
      <c r="B19" s="42" t="n">
        <v>350</v>
      </c>
      <c r="C19" s="43">
        <f>PI()/4*(B19/1000)^2</f>
        <v/>
      </c>
      <c r="D19" s="20" t="inlineStr">
        <is>
          <t>18 - 28 m/s (ahsap tozu tasima)</t>
        </is>
      </c>
    </row>
    <row r="20">
      <c r="A20" s="44" t="n">
        <v>16</v>
      </c>
      <c r="B20" s="45" t="n">
        <v>400</v>
      </c>
      <c r="C20" s="46">
        <f>PI()/4*(B20/1000)^2</f>
        <v/>
      </c>
      <c r="D20" s="44" t="inlineStr">
        <is>
          <t>18 - 28 m/s (ahsap tozu tasima)</t>
        </is>
      </c>
    </row>
    <row r="21">
      <c r="A21" s="20" t="n">
        <v>17</v>
      </c>
      <c r="B21" s="42" t="n">
        <v>450</v>
      </c>
      <c r="C21" s="43">
        <f>PI()/4*(B21/1000)^2</f>
        <v/>
      </c>
      <c r="D21" s="20" t="inlineStr">
        <is>
          <t>18 - 28 m/s (ahsap tozu tasima)</t>
        </is>
      </c>
    </row>
    <row r="22">
      <c r="A22" s="44" t="n">
        <v>18</v>
      </c>
      <c r="B22" s="45" t="n">
        <v>500</v>
      </c>
      <c r="C22" s="46">
        <f>PI()/4*(B22/1000)^2</f>
        <v/>
      </c>
      <c r="D22" s="44" t="inlineStr">
        <is>
          <t>18 - 28 m/s (ahsap tozu tasima)</t>
        </is>
      </c>
    </row>
    <row r="23">
      <c r="A23" s="20" t="n">
        <v>19</v>
      </c>
      <c r="B23" s="42" t="n">
        <v>560</v>
      </c>
      <c r="C23" s="43">
        <f>PI()/4*(B23/1000)^2</f>
        <v/>
      </c>
      <c r="D23" s="20" t="inlineStr">
        <is>
          <t>18 - 28 m/s (ahsap tozu tasima)</t>
        </is>
      </c>
    </row>
    <row r="24">
      <c r="A24" s="44" t="n">
        <v>20</v>
      </c>
      <c r="B24" s="45" t="n">
        <v>600</v>
      </c>
      <c r="C24" s="46">
        <f>PI()/4*(B24/1000)^2</f>
        <v/>
      </c>
      <c r="D24" s="44" t="inlineStr">
        <is>
          <t>18 - 28 m/s (ahsap tozu tasima)</t>
        </is>
      </c>
    </row>
    <row r="25">
      <c r="A25" s="20" t="n">
        <v>21</v>
      </c>
      <c r="B25" s="42" t="n">
        <v>630</v>
      </c>
      <c r="C25" s="43">
        <f>PI()/4*(B25/1000)^2</f>
        <v/>
      </c>
      <c r="D25" s="20" t="inlineStr">
        <is>
          <t>18 - 28 m/s (ahsap tozu tasima)</t>
        </is>
      </c>
    </row>
    <row r="26">
      <c r="A26" s="44" t="n">
        <v>22</v>
      </c>
      <c r="B26" s="45" t="n">
        <v>710</v>
      </c>
      <c r="C26" s="46">
        <f>PI()/4*(B26/1000)^2</f>
        <v/>
      </c>
      <c r="D26" s="44" t="inlineStr">
        <is>
          <t>18 - 28 m/s (ahsap tozu tasima)</t>
        </is>
      </c>
    </row>
    <row r="27">
      <c r="A27" s="20" t="n">
        <v>23</v>
      </c>
      <c r="B27" s="42" t="n">
        <v>800</v>
      </c>
      <c r="C27" s="43">
        <f>PI()/4*(B27/1000)^2</f>
        <v/>
      </c>
      <c r="D27" s="20" t="inlineStr">
        <is>
          <t>18 - 28 m/s (ahsap tozu tasima)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zoomScale="10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" customWidth="1" min="3" max="3"/>
    <col width="30" customWidth="1" min="4" max="4"/>
    <col width="20" customWidth="1" min="5" max="5"/>
  </cols>
  <sheetData>
    <row r="1" ht="26" customHeight="1">
      <c r="A1" s="1" t="inlineStr">
        <is>
          <t>FILTRE SECIMI</t>
        </is>
      </c>
      <c r="B1" s="2" t="n"/>
      <c r="C1" s="2" t="n"/>
      <c r="D1" s="2" t="n"/>
      <c r="E1" s="2" t="n"/>
    </row>
    <row r="3">
      <c r="A3" s="13" t="inlineStr">
        <is>
          <t>SISTEM GEREKSINIMI</t>
        </is>
      </c>
      <c r="B3" s="14" t="n"/>
    </row>
    <row r="4">
      <c r="A4" s="17" t="inlineStr">
        <is>
          <t>Toplam Hava Debisi (m3/h)</t>
        </is>
      </c>
      <c r="B4" s="23">
        <f>'Borulama Hesaplari'!E4</f>
        <v/>
      </c>
    </row>
    <row r="5">
      <c r="A5" s="17" t="inlineStr">
        <is>
          <t>Uygun Minimum Filtre Debisi (m3/h)</t>
        </is>
      </c>
      <c r="B5" s="23">
        <f>MIN(_xlfn._xlws.FILTER('Urun Veritabani'!$E$5:$E$44,('Urun Veritabani'!$C$5:$C$44="Filtre")*('Urun Veritabani'!$E$5:$E$44&gt;=B4),999999999))</f>
        <v/>
      </c>
    </row>
    <row r="6">
      <c r="A6" s="17" t="inlineStr">
        <is>
          <t>Uygun Filtre Bulundu mu?</t>
        </is>
      </c>
      <c r="B6" s="47">
        <f>IF(B5&gt;=999999999,"HAYIR - Veritabanini genisletin","EVET")</f>
        <v/>
      </c>
    </row>
    <row r="8">
      <c r="A8" s="13" t="inlineStr">
        <is>
          <t>SECILEN FILTRE OZELLIKLERI</t>
        </is>
      </c>
      <c r="B8" s="14" t="n"/>
    </row>
    <row r="9">
      <c r="A9" s="17" t="inlineStr">
        <is>
          <t>Marka</t>
        </is>
      </c>
      <c r="B9" s="47">
        <f>_xlfn.XLOOKUP(1,('Urun Veritabani'!$C$5:$C$44="Filtre")*('Urun Veritabani'!$E$5:$E$44=B5),'Urun Veritabani'!$A$5:$A$44)</f>
        <v/>
      </c>
    </row>
    <row r="10">
      <c r="A10" s="17" t="inlineStr">
        <is>
          <t>Filtre Modeli (Urun Kodu)</t>
        </is>
      </c>
      <c r="B10" s="47">
        <f>_xlfn.XLOOKUP(1,('Urun Veritabani'!$C$5:$C$44="Filtre")*('Urun Veritabani'!$E$5:$E$44=B5),'Urun Veritabani'!$B$5:$B$44)</f>
        <v/>
      </c>
    </row>
    <row r="11">
      <c r="A11" s="17" t="inlineStr">
        <is>
          <t>Nominal Debi (m3/h)</t>
        </is>
      </c>
      <c r="B11" s="23">
        <f>B5</f>
        <v/>
      </c>
    </row>
    <row r="12">
      <c r="A12" s="17" t="inlineStr">
        <is>
          <t>Filtre Alani (m2)</t>
        </is>
      </c>
      <c r="B12" s="32">
        <f>_xlfn.XLOOKUP(1,('Urun Veritabani'!$C$5:$C$44="Filtre")*('Urun Veritabani'!$E$5:$E$44=B5),'Urun Veritabani'!$H$5:$H$44)</f>
        <v/>
      </c>
    </row>
    <row r="13">
      <c r="A13" s="17" t="inlineStr">
        <is>
          <t>Fan Gucu (kW)</t>
        </is>
      </c>
      <c r="B13" s="32">
        <f>_xlfn.XLOOKUP(1,('Urun Veritabani'!$C$5:$C$44="Filtre")*('Urun Veritabani'!$E$5:$E$44=B5),'Urun Veritabani'!$G$5:$G$44)</f>
        <v/>
      </c>
    </row>
    <row r="14">
      <c r="A14" s="17" t="inlineStr">
        <is>
          <t>Hava Tanki Hacmi (m3)</t>
        </is>
      </c>
      <c r="B14" s="32">
        <f>_xlfn.XLOOKUP(1,('Urun Veritabani'!$C$5:$C$44="Filtre")*('Urun Veritabani'!$E$5:$E$44=B5),'Urun Veritabani'!$K$5:$K$44)</f>
        <v/>
      </c>
    </row>
    <row r="15">
      <c r="A15" s="17" t="inlineStr">
        <is>
          <t>Temizlik Sistemi</t>
        </is>
      </c>
      <c r="B15" s="24">
        <f>_xlfn.XLOOKUP(1,('Urun Veritabani'!$C$5:$C$44="Filtre")*('Urun Veritabani'!$E$5:$E$44=B5),'Urun Veritabani'!$L$5:$L$44)</f>
        <v/>
      </c>
    </row>
    <row r="16">
      <c r="A16" s="17" t="inlineStr">
        <is>
          <t>Aciklama</t>
        </is>
      </c>
      <c r="B16" s="24">
        <f>_xlfn.XLOOKUP(1,('Urun Veritabani'!$C$5:$C$44="Filtre")*('Urun Veritabani'!$E$5:$E$44=B5),'Urun Veritabani'!$M$5:$M$44)</f>
        <v/>
      </c>
    </row>
    <row r="18">
      <c r="A18" s="13" t="inlineStr">
        <is>
          <t>MUHENDISLIK KONTROLU - FILTRE YUZEY HIZI (Air-to-Cloth Ratio)</t>
        </is>
      </c>
      <c r="B18" s="14" t="n"/>
    </row>
    <row r="19">
      <c r="A19" s="17" t="inlineStr">
        <is>
          <t>Filtre Yuzey Hizi (m/s) = (Debi/3600)/Alan</t>
        </is>
      </c>
      <c r="B19" s="30">
        <f>(B5/3600)/B12</f>
        <v/>
      </c>
    </row>
    <row r="20">
      <c r="A20" s="17" t="inlineStr">
        <is>
          <t>Kontrol (Tavsiye: 0.020 - 0.045 m/s)</t>
        </is>
      </c>
      <c r="B20" s="48">
        <f>IF(B19&lt;0.02,"Filtre alani fazla buyuk (verimsiz)",IF(B19&gt;0.045,"UYARI: Filtre alani yetersiz olabilir","Uygun"))</f>
        <v/>
      </c>
    </row>
    <row r="23">
      <c r="A23" s="17" t="inlineStr">
        <is>
          <t>Filtre Basinc Kaybi (Pa) [Fan secimine eklenir]</t>
        </is>
      </c>
      <c r="B23" s="23">
        <f>_xlfn.XLOOKUP(1,('Urun Veritabani'!$C$5:$C$44="Filtre")*('Urun Veritabani'!$E$5:$E$44=B5),'Urun Veritabani'!$F$5:$F$44)</f>
        <v/>
      </c>
    </row>
  </sheetData>
  <mergeCells count="4">
    <mergeCell ref="A18:B18"/>
    <mergeCell ref="A3:B3"/>
    <mergeCell ref="A8:B8"/>
    <mergeCell ref="A1:E1"/>
  </mergeCells>
  <conditionalFormatting sqref="B20">
    <cfRule type="expression" priority="1" dxfId="0">
      <formula>ISNUMBER(SEARCH("UYARI",B20))</formula>
    </cfRule>
    <cfRule type="expression" priority="2" dxfId="1">
      <formula>B20="Uygun"</formula>
    </cfRule>
  </conditionalFormatting>
  <conditionalFormatting sqref="B6">
    <cfRule type="expression" priority="3" dxfId="0">
      <formula>ISNUMBER(SEARCH("HAYIR",B6))</formula>
    </cfRule>
    <cfRule type="expression" priority="4" dxfId="1">
      <formula>B6="EVET"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zoomScale="10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" customWidth="1" min="3" max="3"/>
    <col width="30" customWidth="1" min="4" max="4"/>
    <col width="20" customWidth="1" min="5" max="5"/>
  </cols>
  <sheetData>
    <row r="1" ht="26" customHeight="1">
      <c r="A1" s="1" t="inlineStr">
        <is>
          <t>FAN SECIMI</t>
        </is>
      </c>
      <c r="B1" s="2" t="n"/>
      <c r="C1" s="2" t="n"/>
      <c r="D1" s="2" t="n"/>
      <c r="E1" s="2" t="n"/>
    </row>
    <row r="3">
      <c r="A3" s="13" t="inlineStr">
        <is>
          <t>SISTEM GEREKSINIMI</t>
        </is>
      </c>
      <c r="B3" s="14" t="n"/>
    </row>
    <row r="4">
      <c r="A4" s="17" t="inlineStr">
        <is>
          <t>Toplam Hava Debisi (m3/h)</t>
        </is>
      </c>
      <c r="B4" s="23">
        <f>'Borulama Hesaplari'!E4</f>
        <v/>
      </c>
    </row>
    <row r="5">
      <c r="A5" s="17" t="inlineStr">
        <is>
          <t>Borulama Basinc Kaybi (Pa)</t>
        </is>
      </c>
      <c r="B5" s="23">
        <f>'Borulama Hesaplari'!E19</f>
        <v/>
      </c>
    </row>
    <row r="6">
      <c r="A6" s="17" t="inlineStr">
        <is>
          <t>Filtre Basinc Kaybi (Pa)</t>
        </is>
      </c>
      <c r="B6" s="23">
        <f>'Filtre Secimi'!B23</f>
        <v/>
      </c>
    </row>
    <row r="7">
      <c r="A7" s="17" t="inlineStr">
        <is>
          <t>TOPLAM SISTEM BASINCI (Fan Secimi Icin) (Pa)</t>
        </is>
      </c>
      <c r="B7" s="49">
        <f>B5+B6</f>
        <v/>
      </c>
    </row>
    <row r="9">
      <c r="A9" s="17" t="inlineStr">
        <is>
          <t>Uygun Minimum Fan Debisi (m3/h)</t>
        </is>
      </c>
      <c r="B9" s="23">
        <f>MIN(_xlfn._xlws.FILTER('Urun Veritabani'!$E$5:$E$44,('Urun Veritabani'!$C$5:$C$44="Fan")*('Urun Veritabani'!$E$5:$E$44&gt;=B4)*('Urun Veritabani'!$F$5:$F$44&gt;=B7),999999999))</f>
        <v/>
      </c>
    </row>
    <row r="10">
      <c r="A10" s="17" t="inlineStr">
        <is>
          <t>Uygun Fan Bulundu mu?</t>
        </is>
      </c>
      <c r="B10" s="47">
        <f>IF(B9&gt;=999999999,"HAYIR - Veritabanini genisletin","EVET")</f>
        <v/>
      </c>
    </row>
    <row r="12">
      <c r="A12" s="13" t="inlineStr">
        <is>
          <t>SECILEN FAN OZELLIKLERI</t>
        </is>
      </c>
      <c r="B12" s="14" t="n"/>
    </row>
    <row r="13">
      <c r="A13" s="17" t="inlineStr">
        <is>
          <t>Marka</t>
        </is>
      </c>
      <c r="B13" s="47">
        <f>_xlfn.XLOOKUP(1,('Urun Veritabani'!$C$5:$C$44="Fan")*('Urun Veritabani'!$E$5:$E$44=B9)*('Urun Veritabani'!$F$5:$F$44&gt;=B7),'Urun Veritabani'!$A$5:$A$44)</f>
        <v/>
      </c>
    </row>
    <row r="14">
      <c r="A14" s="17" t="inlineStr">
        <is>
          <t>Fan Modeli (Urun Kodu)</t>
        </is>
      </c>
      <c r="B14" s="47">
        <f>_xlfn.XLOOKUP(1,('Urun Veritabani'!$C$5:$C$44="Fan")*('Urun Veritabani'!$E$5:$E$44=B9)*('Urun Veritabani'!$F$5:$F$44&gt;=B7),'Urun Veritabani'!$B$5:$B$44)</f>
        <v/>
      </c>
    </row>
    <row r="15">
      <c r="A15" s="17" t="inlineStr">
        <is>
          <t>Cap (mm)</t>
        </is>
      </c>
      <c r="B15" s="23">
        <f>_xlfn.XLOOKUP(1,('Urun Veritabani'!$C$5:$C$44="Fan")*('Urun Veritabani'!$E$5:$E$44=B9)*('Urun Veritabani'!$F$5:$F$44&gt;=B7),'Urun Veritabani'!$D$5:$D$44)</f>
        <v/>
      </c>
    </row>
    <row r="16">
      <c r="A16" s="17" t="inlineStr">
        <is>
          <t>Nominal Debi (m3/h)</t>
        </is>
      </c>
      <c r="B16" s="23">
        <f>B9</f>
        <v/>
      </c>
    </row>
    <row r="17">
      <c r="A17" s="17" t="inlineStr">
        <is>
          <t>Basinc Kapasitesi (Pa)</t>
        </is>
      </c>
      <c r="B17" s="23">
        <f>_xlfn.XLOOKUP(1,('Urun Veritabani'!$C$5:$C$44="Fan")*('Urun Veritabani'!$E$5:$E$44=B9)*('Urun Veritabani'!$F$5:$F$44&gt;=B7),'Urun Veritabani'!$F$5:$F$44)</f>
        <v/>
      </c>
    </row>
    <row r="18">
      <c r="A18" s="17" t="inlineStr">
        <is>
          <t>Veritabani Motor Gucu (kW)</t>
        </is>
      </c>
      <c r="B18" s="32">
        <f>_xlfn.XLOOKUP(1,('Urun Veritabani'!$C$5:$C$44="Fan")*('Urun Veritabani'!$E$5:$E$44=B9)*('Urun Veritabani'!$F$5:$F$44&gt;=B7),'Urun Veritabani'!$G$5:$G$44)</f>
        <v/>
      </c>
    </row>
    <row r="19">
      <c r="A19" s="17" t="inlineStr">
        <is>
          <t>Fan Devri (rpm)</t>
        </is>
      </c>
      <c r="B19" s="23">
        <f>_xlfn.XLOOKUP(1,('Urun Veritabani'!$C$5:$C$44="Fan")*('Urun Veritabani'!$E$5:$E$44=B9)*('Urun Veritabani'!$F$5:$F$44&gt;=B7),'Urun Veritabani'!$I$5:$I$44)</f>
        <v/>
      </c>
    </row>
    <row r="20">
      <c r="A20" s="17" t="inlineStr">
        <is>
          <t>Fan Verimi (%)</t>
        </is>
      </c>
      <c r="B20" s="23">
        <f>_xlfn.XLOOKUP(1,('Urun Veritabani'!$C$5:$C$44="Fan")*('Urun Veritabani'!$E$5:$E$44=B9)*('Urun Veritabani'!$F$5:$F$44&gt;=B7),'Urun Veritabani'!$J$5:$J$44)</f>
        <v/>
      </c>
    </row>
    <row r="22">
      <c r="A22" s="13" t="inlineStr">
        <is>
          <t>TEORIK MOTOR GUCU HESABI VE KONTROL</t>
        </is>
      </c>
      <c r="B22" s="14" t="n"/>
    </row>
    <row r="23">
      <c r="A23" s="17" t="inlineStr">
        <is>
          <t>Teorik Motor Gucu (kW) = Q[m3/s] x dP[Pa] / (1000 x Verim)</t>
        </is>
      </c>
      <c r="B23" s="35">
        <f>(B4/3600)*B7/(1000*(B20/100))</f>
        <v/>
      </c>
    </row>
    <row r="24">
      <c r="A24" s="17" t="inlineStr">
        <is>
          <t>Kontrol (Teorik &lt;= Veritabani Motoru x 1.1)</t>
        </is>
      </c>
      <c r="B24" s="50">
        <f>IF(B23&gt;B18*1.1,"UYARI: Motor gucu yetersiz olabilir","Uygun")</f>
        <v/>
      </c>
    </row>
    <row r="26">
      <c r="A26" s="13" t="inlineStr">
        <is>
          <t>ENERJI TUKETIMI</t>
        </is>
      </c>
      <c r="B26" s="14" t="n"/>
    </row>
    <row r="27">
      <c r="A27" s="17" t="inlineStr">
        <is>
          <t>Sistem Calisma Suresi (saat/gun)</t>
        </is>
      </c>
      <c r="B27" s="22" t="n">
        <v>8</v>
      </c>
    </row>
    <row r="28">
      <c r="A28" s="17" t="inlineStr">
        <is>
          <t>Yillik Calisma Gunu (gun/yil)</t>
        </is>
      </c>
      <c r="B28" s="22" t="n">
        <v>250</v>
      </c>
    </row>
    <row r="29">
      <c r="A29" s="17" t="inlineStr">
        <is>
          <t>Motor Gucu (kW) [Kullanilan]</t>
        </is>
      </c>
      <c r="B29" s="33">
        <f>MAX(B23,B18)</f>
        <v/>
      </c>
    </row>
    <row r="30">
      <c r="A30" s="17" t="inlineStr">
        <is>
          <t>Enerji Tuketimi (kWh/gun)</t>
        </is>
      </c>
      <c r="B30" s="32">
        <f>B29*B27</f>
        <v/>
      </c>
    </row>
    <row r="31">
      <c r="A31" s="17" t="inlineStr">
        <is>
          <t>Enerji Tuketimi (kWh/yil)</t>
        </is>
      </c>
      <c r="B31" s="23">
        <f>B30*B28</f>
        <v/>
      </c>
    </row>
  </sheetData>
  <mergeCells count="5">
    <mergeCell ref="A26:B26"/>
    <mergeCell ref="A1:E1"/>
    <mergeCell ref="A3:B3"/>
    <mergeCell ref="A22:B22"/>
    <mergeCell ref="A12:B12"/>
  </mergeCells>
  <conditionalFormatting sqref="B24">
    <cfRule type="expression" priority="1" dxfId="0">
      <formula>ISNUMBER(SEARCH("UYARI",B24))</formula>
    </cfRule>
    <cfRule type="expression" priority="2" dxfId="1">
      <formula>B24="Uygun"</formula>
    </cfRule>
  </conditionalFormatting>
  <conditionalFormatting sqref="B10">
    <cfRule type="expression" priority="3" dxfId="0">
      <formula>ISNUMBER(SEARCH("HAYIR",B10))</formula>
    </cfRule>
    <cfRule type="expression" priority="4" dxfId="1">
      <formula>B10="EVET"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4" customWidth="1" min="11" max="11"/>
    <col width="22" customWidth="1" min="12" max="12"/>
    <col width="30" customWidth="1" min="13" max="13"/>
  </cols>
  <sheetData>
    <row r="1" ht="26" customHeight="1">
      <c r="A1" s="1" t="inlineStr">
        <is>
          <t>URUN VERITABANI  -  SMT Europe / Siloma / Saf Teknik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0" customHeight="1">
      <c r="A2" s="51" t="inlineStr">
        <is>
          <t>NOT: Asagidaki teknik degerler (debi, basinc, guc, alan) ilgili marka model serileri esas alinarak muhendislik tahmini olarak olusturulmustur. Kataloglarin genel urun sayfalarinda detayli teknik deger (m3/h, Pa, kW) yayinlanmadigindan, kesin teklif oncesi SMT Europe / Siloma / Saf Teknik yetkili satis/teknik servisinden guncel datasheet degerleri ile bu tablo dogrulanmalidir.</t>
        </is>
      </c>
    </row>
    <row r="4" ht="32" customHeight="1">
      <c r="A4" s="15" t="inlineStr">
        <is>
          <t>Marka</t>
        </is>
      </c>
      <c r="B4" s="15" t="inlineStr">
        <is>
          <t>Urun Kodu</t>
        </is>
      </c>
      <c r="C4" s="15" t="inlineStr">
        <is>
          <t>Urun Tipi</t>
        </is>
      </c>
      <c r="D4" s="15" t="inlineStr">
        <is>
          <t>Cap (mm)</t>
        </is>
      </c>
      <c r="E4" s="15" t="inlineStr">
        <is>
          <t>Debi (m3/h)</t>
        </is>
      </c>
      <c r="F4" s="15" t="inlineStr">
        <is>
          <t>Basinc (Pa)</t>
        </is>
      </c>
      <c r="G4" s="15" t="inlineStr">
        <is>
          <t>Motor Gucu (kW)</t>
        </is>
      </c>
      <c r="H4" s="15" t="inlineStr">
        <is>
          <t>Filtre Alani (m2)</t>
        </is>
      </c>
      <c r="I4" s="15" t="inlineStr">
        <is>
          <t>Fan Devri (rpm)</t>
        </is>
      </c>
      <c r="J4" s="15" t="inlineStr">
        <is>
          <t>Fan Verimi (%)</t>
        </is>
      </c>
      <c r="K4" s="15" t="inlineStr">
        <is>
          <t>Hava Tanki Hacmi (m3)</t>
        </is>
      </c>
      <c r="L4" s="15" t="inlineStr">
        <is>
          <t>Temizlik Sistemi</t>
        </is>
      </c>
      <c r="M4" s="15" t="inlineStr">
        <is>
          <t>Aciklama</t>
        </is>
      </c>
    </row>
    <row r="5">
      <c r="A5" s="20" t="inlineStr">
        <is>
          <t>Saf Teknik</t>
        </is>
      </c>
      <c r="B5" s="20" t="inlineStr">
        <is>
          <t>SF-312</t>
        </is>
      </c>
      <c r="C5" s="20" t="inlineStr">
        <is>
          <t>Filtre</t>
        </is>
      </c>
      <c r="D5" s="20" t="n"/>
      <c r="E5" s="52" t="n">
        <v>3000</v>
      </c>
      <c r="F5" s="52" t="n">
        <v>1444</v>
      </c>
      <c r="G5" s="52" t="n">
        <v>2.2</v>
      </c>
      <c r="H5" s="52" t="n">
        <v>33.3</v>
      </c>
      <c r="I5" s="52" t="n"/>
      <c r="J5" s="52" t="n"/>
      <c r="K5" s="52" t="n">
        <v>0</v>
      </c>
      <c r="L5" s="20" t="inlineStr">
        <is>
          <t>Mekanik Sarsma</t>
        </is>
      </c>
      <c r="M5" s="20" t="inlineStr">
        <is>
          <t>SF-312 torba/kartus filtre unitesi - mekanik sarsma temizlikli</t>
        </is>
      </c>
    </row>
    <row r="6">
      <c r="A6" s="44" t="inlineStr">
        <is>
          <t>Saf Teknik</t>
        </is>
      </c>
      <c r="B6" s="44" t="inlineStr">
        <is>
          <t>SF-315</t>
        </is>
      </c>
      <c r="C6" s="44" t="inlineStr">
        <is>
          <t>Filtre</t>
        </is>
      </c>
      <c r="D6" s="44" t="n"/>
      <c r="E6" s="53" t="n">
        <v>4500</v>
      </c>
      <c r="F6" s="53" t="n">
        <v>1465</v>
      </c>
      <c r="G6" s="53" t="n">
        <v>4</v>
      </c>
      <c r="H6" s="53" t="n">
        <v>50</v>
      </c>
      <c r="I6" s="53" t="n"/>
      <c r="J6" s="53" t="n"/>
      <c r="K6" s="53" t="n">
        <v>0</v>
      </c>
      <c r="L6" s="44" t="inlineStr">
        <is>
          <t>Mekanik Sarsma</t>
        </is>
      </c>
      <c r="M6" s="44" t="inlineStr">
        <is>
          <t>SF-315 torba/kartus filtre unitesi - mekanik sarsma temizlikli</t>
        </is>
      </c>
    </row>
    <row r="7">
      <c r="A7" s="20" t="inlineStr">
        <is>
          <t>Saf Teknik</t>
        </is>
      </c>
      <c r="B7" s="20" t="inlineStr">
        <is>
          <t>SF-318</t>
        </is>
      </c>
      <c r="C7" s="20" t="inlineStr">
        <is>
          <t>Filtre</t>
        </is>
      </c>
      <c r="D7" s="20" t="n"/>
      <c r="E7" s="52" t="n">
        <v>6000</v>
      </c>
      <c r="F7" s="52" t="n">
        <v>1487</v>
      </c>
      <c r="G7" s="52" t="n">
        <v>5.5</v>
      </c>
      <c r="H7" s="52" t="n">
        <v>66.7</v>
      </c>
      <c r="I7" s="52" t="n"/>
      <c r="J7" s="52" t="n"/>
      <c r="K7" s="52" t="n">
        <v>0</v>
      </c>
      <c r="L7" s="20" t="inlineStr">
        <is>
          <t>Mekanik Sarsma</t>
        </is>
      </c>
      <c r="M7" s="20" t="inlineStr">
        <is>
          <t>SF-318 torba/kartus filtre unitesi - mekanik sarsma temizlikli</t>
        </is>
      </c>
    </row>
    <row r="8">
      <c r="A8" s="44" t="inlineStr">
        <is>
          <t>Saf Teknik</t>
        </is>
      </c>
      <c r="B8" s="44" t="inlineStr">
        <is>
          <t>SF-321</t>
        </is>
      </c>
      <c r="C8" s="44" t="inlineStr">
        <is>
          <t>Filtre</t>
        </is>
      </c>
      <c r="D8" s="44" t="n"/>
      <c r="E8" s="53" t="n">
        <v>8000</v>
      </c>
      <c r="F8" s="53" t="n">
        <v>1516</v>
      </c>
      <c r="G8" s="53" t="n">
        <v>7.5</v>
      </c>
      <c r="H8" s="53" t="n">
        <v>88.90000000000001</v>
      </c>
      <c r="I8" s="53" t="n"/>
      <c r="J8" s="53" t="n"/>
      <c r="K8" s="53" t="n">
        <v>0</v>
      </c>
      <c r="L8" s="44" t="inlineStr">
        <is>
          <t>Mekanik Sarsma</t>
        </is>
      </c>
      <c r="M8" s="44" t="inlineStr">
        <is>
          <t>SF-321 torba/kartus filtre unitesi - mekanik sarsma temizlikli</t>
        </is>
      </c>
    </row>
    <row r="9">
      <c r="A9" s="20" t="inlineStr">
        <is>
          <t>Saf Teknik</t>
        </is>
      </c>
      <c r="B9" s="20" t="inlineStr">
        <is>
          <t>SF-324</t>
        </is>
      </c>
      <c r="C9" s="20" t="inlineStr">
        <is>
          <t>Filtre</t>
        </is>
      </c>
      <c r="D9" s="20" t="n"/>
      <c r="E9" s="52" t="n">
        <v>10000</v>
      </c>
      <c r="F9" s="52" t="n">
        <v>1545</v>
      </c>
      <c r="G9" s="52" t="n">
        <v>7.5</v>
      </c>
      <c r="H9" s="52" t="n">
        <v>111.1</v>
      </c>
      <c r="I9" s="52" t="n"/>
      <c r="J9" s="52" t="n"/>
      <c r="K9" s="52" t="n">
        <v>0</v>
      </c>
      <c r="L9" s="20" t="inlineStr">
        <is>
          <t>Mekanik Sarsma</t>
        </is>
      </c>
      <c r="M9" s="20" t="inlineStr">
        <is>
          <t>SF-324 torba/kartus filtre unitesi - mekanik sarsma temizlikli</t>
        </is>
      </c>
    </row>
    <row r="10">
      <c r="A10" s="44" t="inlineStr">
        <is>
          <t>Saf Teknik</t>
        </is>
      </c>
      <c r="B10" s="44" t="inlineStr">
        <is>
          <t>KP-12</t>
        </is>
      </c>
      <c r="C10" s="44" t="inlineStr">
        <is>
          <t>Filtre</t>
        </is>
      </c>
      <c r="D10" s="44" t="n"/>
      <c r="E10" s="53" t="n">
        <v>1200</v>
      </c>
      <c r="F10" s="53" t="n">
        <v>1417</v>
      </c>
      <c r="G10" s="53" t="n">
        <v>1.1</v>
      </c>
      <c r="H10" s="53" t="n">
        <v>13.3</v>
      </c>
      <c r="I10" s="53" t="n"/>
      <c r="J10" s="53" t="n"/>
      <c r="K10" s="53" t="n">
        <v>0</v>
      </c>
      <c r="L10" s="44" t="inlineStr">
        <is>
          <t>Mekanik Sarsma</t>
        </is>
      </c>
      <c r="M10" s="44" t="inlineStr">
        <is>
          <t>KP-12 torba/kartus filtre unitesi - mekanik sarsma temizlikli</t>
        </is>
      </c>
    </row>
    <row r="11">
      <c r="A11" s="20" t="inlineStr">
        <is>
          <t>Saf Teknik</t>
        </is>
      </c>
      <c r="B11" s="20" t="inlineStr">
        <is>
          <t>KP-20</t>
        </is>
      </c>
      <c r="C11" s="20" t="inlineStr">
        <is>
          <t>Filtre</t>
        </is>
      </c>
      <c r="D11" s="20" t="n"/>
      <c r="E11" s="52" t="n">
        <v>2000</v>
      </c>
      <c r="F11" s="52" t="n">
        <v>1429</v>
      </c>
      <c r="G11" s="52" t="n">
        <v>1.5</v>
      </c>
      <c r="H11" s="52" t="n">
        <v>22.2</v>
      </c>
      <c r="I11" s="52" t="n"/>
      <c r="J11" s="52" t="n"/>
      <c r="K11" s="52" t="n">
        <v>0</v>
      </c>
      <c r="L11" s="20" t="inlineStr">
        <is>
          <t>Mekanik Sarsma</t>
        </is>
      </c>
      <c r="M11" s="20" t="inlineStr">
        <is>
          <t>KP-20 torba/kartus filtre unitesi - mekanik sarsma temizlikli</t>
        </is>
      </c>
    </row>
    <row r="12">
      <c r="A12" s="44" t="inlineStr">
        <is>
          <t>Saf Teknik</t>
        </is>
      </c>
      <c r="B12" s="44" t="inlineStr">
        <is>
          <t>KP-30</t>
        </is>
      </c>
      <c r="C12" s="44" t="inlineStr">
        <is>
          <t>Filtre</t>
        </is>
      </c>
      <c r="D12" s="44" t="n"/>
      <c r="E12" s="53" t="n">
        <v>3000</v>
      </c>
      <c r="F12" s="53" t="n">
        <v>1444</v>
      </c>
      <c r="G12" s="53" t="n">
        <v>2.2</v>
      </c>
      <c r="H12" s="53" t="n">
        <v>33.3</v>
      </c>
      <c r="I12" s="53" t="n"/>
      <c r="J12" s="53" t="n"/>
      <c r="K12" s="53" t="n">
        <v>0</v>
      </c>
      <c r="L12" s="44" t="inlineStr">
        <is>
          <t>Mekanik Sarsma</t>
        </is>
      </c>
      <c r="M12" s="44" t="inlineStr">
        <is>
          <t>KP-30 torba/kartus filtre unitesi - mekanik sarsma temizlikli</t>
        </is>
      </c>
    </row>
    <row r="13">
      <c r="A13" s="20" t="inlineStr">
        <is>
          <t>Saf Teknik</t>
        </is>
      </c>
      <c r="B13" s="20" t="inlineStr">
        <is>
          <t>KP-40</t>
        </is>
      </c>
      <c r="C13" s="20" t="inlineStr">
        <is>
          <t>Filtre</t>
        </is>
      </c>
      <c r="D13" s="20" t="n"/>
      <c r="E13" s="52" t="n">
        <v>4000</v>
      </c>
      <c r="F13" s="52" t="n">
        <v>1458</v>
      </c>
      <c r="G13" s="52" t="n">
        <v>3</v>
      </c>
      <c r="H13" s="52" t="n">
        <v>44.4</v>
      </c>
      <c r="I13" s="52" t="n"/>
      <c r="J13" s="52" t="n"/>
      <c r="K13" s="52" t="n">
        <v>0</v>
      </c>
      <c r="L13" s="20" t="inlineStr">
        <is>
          <t>Mekanik Sarsma</t>
        </is>
      </c>
      <c r="M13" s="20" t="inlineStr">
        <is>
          <t>KP-40 torba/kartus filtre unitesi - mekanik sarsma temizlikli</t>
        </is>
      </c>
    </row>
    <row r="14">
      <c r="A14" s="44" t="inlineStr">
        <is>
          <t>Saf Teknik</t>
        </is>
      </c>
      <c r="B14" s="44" t="inlineStr">
        <is>
          <t>KP-50</t>
        </is>
      </c>
      <c r="C14" s="44" t="inlineStr">
        <is>
          <t>Filtre</t>
        </is>
      </c>
      <c r="D14" s="44" t="n"/>
      <c r="E14" s="53" t="n">
        <v>5000</v>
      </c>
      <c r="F14" s="53" t="n">
        <v>1473</v>
      </c>
      <c r="G14" s="53" t="n">
        <v>4</v>
      </c>
      <c r="H14" s="53" t="n">
        <v>55.6</v>
      </c>
      <c r="I14" s="53" t="n"/>
      <c r="J14" s="53" t="n"/>
      <c r="K14" s="53" t="n">
        <v>0</v>
      </c>
      <c r="L14" s="44" t="inlineStr">
        <is>
          <t>Mekanik Sarsma</t>
        </is>
      </c>
      <c r="M14" s="44" t="inlineStr">
        <is>
          <t>KP-50 torba/kartus filtre unitesi - mekanik sarsma temizlikli</t>
        </is>
      </c>
    </row>
    <row r="15">
      <c r="A15" s="20" t="inlineStr">
        <is>
          <t>Saf Teknik</t>
        </is>
      </c>
      <c r="B15" s="20" t="inlineStr">
        <is>
          <t>KP-60</t>
        </is>
      </c>
      <c r="C15" s="20" t="inlineStr">
        <is>
          <t>Filtre</t>
        </is>
      </c>
      <c r="D15" s="20" t="n"/>
      <c r="E15" s="52" t="n">
        <v>6000</v>
      </c>
      <c r="F15" s="52" t="n">
        <v>1487</v>
      </c>
      <c r="G15" s="52" t="n">
        <v>5.5</v>
      </c>
      <c r="H15" s="52" t="n">
        <v>66.7</v>
      </c>
      <c r="I15" s="52" t="n"/>
      <c r="J15" s="52" t="n"/>
      <c r="K15" s="52" t="n">
        <v>0</v>
      </c>
      <c r="L15" s="20" t="inlineStr">
        <is>
          <t>Mekanik Sarsma</t>
        </is>
      </c>
      <c r="M15" s="20" t="inlineStr">
        <is>
          <t>KP-60 torba/kartus filtre unitesi - mekanik sarsma temizlikli</t>
        </is>
      </c>
    </row>
    <row r="16">
      <c r="A16" s="44" t="inlineStr">
        <is>
          <t>Saf Teknik</t>
        </is>
      </c>
      <c r="B16" s="44" t="inlineStr">
        <is>
          <t>BB-1521</t>
        </is>
      </c>
      <c r="C16" s="44" t="inlineStr">
        <is>
          <t>Filtre</t>
        </is>
      </c>
      <c r="D16" s="44" t="n"/>
      <c r="E16" s="53" t="n">
        <v>15000</v>
      </c>
      <c r="F16" s="53" t="n">
        <v>1618</v>
      </c>
      <c r="G16" s="53" t="n">
        <v>15</v>
      </c>
      <c r="H16" s="53" t="n">
        <v>109.6</v>
      </c>
      <c r="I16" s="53" t="n"/>
      <c r="J16" s="53" t="n"/>
      <c r="K16" s="53" t="n">
        <v>0.7</v>
      </c>
      <c r="L16" s="44" t="inlineStr">
        <is>
          <t>Jet Pulse (Basincli Hava)</t>
        </is>
      </c>
      <c r="M16" s="44" t="inlineStr">
        <is>
          <t>BB-1521 torba/kartus filtre unitesi - jet pulse (basincli hava) temizlikli</t>
        </is>
      </c>
    </row>
    <row r="17">
      <c r="A17" s="20" t="inlineStr">
        <is>
          <t>Saf Teknik</t>
        </is>
      </c>
      <c r="B17" s="20" t="inlineStr">
        <is>
          <t>BB-1524</t>
        </is>
      </c>
      <c r="C17" s="20" t="inlineStr">
        <is>
          <t>Filtre</t>
        </is>
      </c>
      <c r="D17" s="20" t="n"/>
      <c r="E17" s="52" t="n">
        <v>20000</v>
      </c>
      <c r="F17" s="52" t="n">
        <v>1691</v>
      </c>
      <c r="G17" s="52" t="n">
        <v>18.5</v>
      </c>
      <c r="H17" s="52" t="n">
        <v>146.2</v>
      </c>
      <c r="I17" s="52" t="n"/>
      <c r="J17" s="52" t="n"/>
      <c r="K17" s="52" t="n">
        <v>0.8</v>
      </c>
      <c r="L17" s="20" t="inlineStr">
        <is>
          <t>Jet Pulse (Basincli Hava)</t>
        </is>
      </c>
      <c r="M17" s="20" t="inlineStr">
        <is>
          <t>BB-1524 torba/kartus filtre unitesi - jet pulse (basincli hava) temizlikli</t>
        </is>
      </c>
    </row>
    <row r="18">
      <c r="A18" s="44" t="inlineStr">
        <is>
          <t>Saf Teknik</t>
        </is>
      </c>
      <c r="B18" s="44" t="inlineStr">
        <is>
          <t>BB-1526</t>
        </is>
      </c>
      <c r="C18" s="44" t="inlineStr">
        <is>
          <t>Filtre</t>
        </is>
      </c>
      <c r="D18" s="44" t="n"/>
      <c r="E18" s="53" t="n">
        <v>26000</v>
      </c>
      <c r="F18" s="53" t="n">
        <v>1778</v>
      </c>
      <c r="G18" s="53" t="n">
        <v>22</v>
      </c>
      <c r="H18" s="53" t="n">
        <v>190.1</v>
      </c>
      <c r="I18" s="53" t="n"/>
      <c r="J18" s="53" t="n"/>
      <c r="K18" s="53" t="n">
        <v>0.9</v>
      </c>
      <c r="L18" s="44" t="inlineStr">
        <is>
          <t>Jet Pulse (Basincli Hava)</t>
        </is>
      </c>
      <c r="M18" s="44" t="inlineStr">
        <is>
          <t>BB-1526 torba/kartus filtre unitesi - jet pulse (basincli hava) temizlikli</t>
        </is>
      </c>
    </row>
    <row r="19">
      <c r="A19" s="20" t="inlineStr">
        <is>
          <t>Siloma</t>
        </is>
      </c>
      <c r="B19" s="20" t="inlineStr">
        <is>
          <t>SPE-30000</t>
        </is>
      </c>
      <c r="C19" s="20" t="inlineStr">
        <is>
          <t>Filtre</t>
        </is>
      </c>
      <c r="D19" s="20" t="n"/>
      <c r="E19" s="52" t="n">
        <v>30000</v>
      </c>
      <c r="F19" s="52" t="n">
        <v>1836</v>
      </c>
      <c r="G19" s="52" t="n">
        <v>30</v>
      </c>
      <c r="H19" s="52" t="n">
        <v>219.3</v>
      </c>
      <c r="I19" s="52" t="n"/>
      <c r="J19" s="52" t="n"/>
      <c r="K19" s="52" t="n">
        <v>1.1</v>
      </c>
      <c r="L19" s="20" t="inlineStr">
        <is>
          <t>Jet Pulse (Basincli Hava)</t>
        </is>
      </c>
      <c r="M19" s="20" t="inlineStr">
        <is>
          <t>SPE-30000 torba/kartus filtre unitesi - jet pulse (basincli hava) temizlikli</t>
        </is>
      </c>
    </row>
    <row r="20">
      <c r="A20" s="44" t="inlineStr">
        <is>
          <t>Siloma</t>
        </is>
      </c>
      <c r="B20" s="44" t="inlineStr">
        <is>
          <t>SPE-40000</t>
        </is>
      </c>
      <c r="C20" s="44" t="inlineStr">
        <is>
          <t>Filtre</t>
        </is>
      </c>
      <c r="D20" s="44" t="n"/>
      <c r="E20" s="53" t="n">
        <v>40000</v>
      </c>
      <c r="F20" s="53" t="n">
        <v>1982</v>
      </c>
      <c r="G20" s="53" t="n">
        <v>37</v>
      </c>
      <c r="H20" s="53" t="n">
        <v>292.4</v>
      </c>
      <c r="I20" s="53" t="n"/>
      <c r="J20" s="53" t="n"/>
      <c r="K20" s="53" t="n">
        <v>1.3</v>
      </c>
      <c r="L20" s="44" t="inlineStr">
        <is>
          <t>Jet Pulse (Basincli Hava)</t>
        </is>
      </c>
      <c r="M20" s="44" t="inlineStr">
        <is>
          <t>SPE-40000 torba/kartus filtre unitesi - jet pulse (basincli hava) temizlikli</t>
        </is>
      </c>
    </row>
    <row r="21">
      <c r="A21" s="20" t="inlineStr">
        <is>
          <t>Siloma</t>
        </is>
      </c>
      <c r="B21" s="20" t="inlineStr">
        <is>
          <t>SPE-55000</t>
        </is>
      </c>
      <c r="C21" s="20" t="inlineStr">
        <is>
          <t>Filtre</t>
        </is>
      </c>
      <c r="D21" s="20" t="n"/>
      <c r="E21" s="52" t="n">
        <v>55000</v>
      </c>
      <c r="F21" s="52" t="n">
        <v>2200</v>
      </c>
      <c r="G21" s="52" t="n">
        <v>75</v>
      </c>
      <c r="H21" s="52" t="n">
        <v>402</v>
      </c>
      <c r="I21" s="52" t="n"/>
      <c r="J21" s="52" t="n"/>
      <c r="K21" s="52" t="n">
        <v>1.7</v>
      </c>
      <c r="L21" s="20" t="inlineStr">
        <is>
          <t>Jet Pulse (Basincli Hava)</t>
        </is>
      </c>
      <c r="M21" s="20" t="inlineStr">
        <is>
          <t>SPE-55000 torba/kartus filtre unitesi - jet pulse (basincli hava) temizlikli</t>
        </is>
      </c>
    </row>
    <row r="22">
      <c r="A22" s="44" t="inlineStr">
        <is>
          <t>SMT Europe</t>
        </is>
      </c>
      <c r="B22" s="44" t="inlineStr">
        <is>
          <t>SNF-10</t>
        </is>
      </c>
      <c r="C22" s="44" t="inlineStr">
        <is>
          <t>Filtre</t>
        </is>
      </c>
      <c r="D22" s="44" t="n"/>
      <c r="E22" s="53" t="n">
        <v>4000</v>
      </c>
      <c r="F22" s="53" t="n">
        <v>1458</v>
      </c>
      <c r="G22" s="53" t="n">
        <v>3</v>
      </c>
      <c r="H22" s="53" t="n">
        <v>37</v>
      </c>
      <c r="I22" s="53" t="n"/>
      <c r="J22" s="53" t="n"/>
      <c r="K22" s="53" t="n">
        <v>0</v>
      </c>
      <c r="L22" s="44" t="inlineStr">
        <is>
          <t>Titresimli (Vibrasyon)</t>
        </is>
      </c>
      <c r="M22" s="44" t="inlineStr">
        <is>
          <t>SNF-10 torba/kartus filtre unitesi - titresimli (vibrasyon) temizlikli</t>
        </is>
      </c>
    </row>
    <row r="23">
      <c r="A23" s="20" t="inlineStr">
        <is>
          <t>SMT Europe</t>
        </is>
      </c>
      <c r="B23" s="20" t="inlineStr">
        <is>
          <t>MS-15</t>
        </is>
      </c>
      <c r="C23" s="20" t="inlineStr">
        <is>
          <t>Filtre</t>
        </is>
      </c>
      <c r="D23" s="20" t="n"/>
      <c r="E23" s="52" t="n">
        <v>5000</v>
      </c>
      <c r="F23" s="52" t="n">
        <v>1473</v>
      </c>
      <c r="G23" s="52" t="n">
        <v>4</v>
      </c>
      <c r="H23" s="52" t="n">
        <v>46.3</v>
      </c>
      <c r="I23" s="52" t="n"/>
      <c r="J23" s="52" t="n"/>
      <c r="K23" s="52" t="n">
        <v>0</v>
      </c>
      <c r="L23" s="20" t="inlineStr">
        <is>
          <t>Titresimli (Vibrasyon)</t>
        </is>
      </c>
      <c r="M23" s="20" t="inlineStr">
        <is>
          <t>MS-15 torba/kartus filtre unitesi - titresimli (vibrasyon) temizlikli</t>
        </is>
      </c>
    </row>
    <row r="24">
      <c r="A24" s="44" t="inlineStr">
        <is>
          <t>SMT Europe</t>
        </is>
      </c>
      <c r="B24" s="44" t="inlineStr">
        <is>
          <t>MS-25</t>
        </is>
      </c>
      <c r="C24" s="44" t="inlineStr">
        <is>
          <t>Filtre</t>
        </is>
      </c>
      <c r="D24" s="44" t="n"/>
      <c r="E24" s="53" t="n">
        <v>8000</v>
      </c>
      <c r="F24" s="53" t="n">
        <v>1516</v>
      </c>
      <c r="G24" s="53" t="n">
        <v>7.5</v>
      </c>
      <c r="H24" s="53" t="n">
        <v>74.09999999999999</v>
      </c>
      <c r="I24" s="53" t="n"/>
      <c r="J24" s="53" t="n"/>
      <c r="K24" s="53" t="n">
        <v>0</v>
      </c>
      <c r="L24" s="44" t="inlineStr">
        <is>
          <t>Titresimli (Vibrasyon)</t>
        </is>
      </c>
      <c r="M24" s="44" t="inlineStr">
        <is>
          <t>MS-25 torba/kartus filtre unitesi - titresimli (vibrasyon) temizlikli</t>
        </is>
      </c>
    </row>
    <row r="25">
      <c r="A25" s="20" t="inlineStr">
        <is>
          <t>SMT Europe</t>
        </is>
      </c>
      <c r="B25" s="20" t="inlineStr">
        <is>
          <t>MSP-20</t>
        </is>
      </c>
      <c r="C25" s="20" t="inlineStr">
        <is>
          <t>Filtre</t>
        </is>
      </c>
      <c r="D25" s="20" t="n"/>
      <c r="E25" s="52" t="n">
        <v>7000</v>
      </c>
      <c r="F25" s="52" t="n">
        <v>1502</v>
      </c>
      <c r="G25" s="52" t="n">
        <v>5.5</v>
      </c>
      <c r="H25" s="52" t="n">
        <v>51.2</v>
      </c>
      <c r="I25" s="52" t="n"/>
      <c r="J25" s="52" t="n"/>
      <c r="K25" s="52" t="n">
        <v>0.5</v>
      </c>
      <c r="L25" s="20" t="inlineStr">
        <is>
          <t>Jet Pulse (Basincli Hava)</t>
        </is>
      </c>
      <c r="M25" s="20" t="inlineStr">
        <is>
          <t>MSP-20 torba/kartus filtre unitesi - jet pulse (basincli hava) temizlikli</t>
        </is>
      </c>
    </row>
    <row r="26">
      <c r="A26" s="44" t="inlineStr">
        <is>
          <t>SMT Europe</t>
        </is>
      </c>
      <c r="B26" s="44" t="inlineStr">
        <is>
          <t>MSP-35</t>
        </is>
      </c>
      <c r="C26" s="44" t="inlineStr">
        <is>
          <t>Filtre</t>
        </is>
      </c>
      <c r="D26" s="44" t="n"/>
      <c r="E26" s="53" t="n">
        <v>12000</v>
      </c>
      <c r="F26" s="53" t="n">
        <v>1575</v>
      </c>
      <c r="G26" s="53" t="n">
        <v>11</v>
      </c>
      <c r="H26" s="53" t="n">
        <v>87.7</v>
      </c>
      <c r="I26" s="53" t="n"/>
      <c r="J26" s="53" t="n"/>
      <c r="K26" s="53" t="n">
        <v>0.6</v>
      </c>
      <c r="L26" s="44" t="inlineStr">
        <is>
          <t>Jet Pulse (Basincli Hava)</t>
        </is>
      </c>
      <c r="M26" s="44" t="inlineStr">
        <is>
          <t>MSP-35 torba/kartus filtre unitesi - jet pulse (basincli hava) temizlikli</t>
        </is>
      </c>
    </row>
    <row r="27">
      <c r="A27" s="20" t="inlineStr">
        <is>
          <t>SMT Europe</t>
        </is>
      </c>
      <c r="B27" s="20" t="inlineStr">
        <is>
          <t>SWF-30</t>
        </is>
      </c>
      <c r="C27" s="20" t="inlineStr">
        <is>
          <t>Filtre</t>
        </is>
      </c>
      <c r="D27" s="20" t="n"/>
      <c r="E27" s="52" t="n">
        <v>10000</v>
      </c>
      <c r="F27" s="52" t="n">
        <v>1545</v>
      </c>
      <c r="G27" s="52" t="n">
        <v>7.5</v>
      </c>
      <c r="H27" s="52" t="n">
        <v>73.09999999999999</v>
      </c>
      <c r="I27" s="52" t="n"/>
      <c r="J27" s="52" t="n"/>
      <c r="K27" s="52" t="n">
        <v>0.6</v>
      </c>
      <c r="L27" s="20" t="inlineStr">
        <is>
          <t>Jet Pulse (Basincli Hava)</t>
        </is>
      </c>
      <c r="M27" s="20" t="inlineStr">
        <is>
          <t>SWF-30 torba/kartus filtre unitesi - jet pulse (basincli hava) temizlikli</t>
        </is>
      </c>
    </row>
    <row r="28">
      <c r="A28" s="44" t="inlineStr">
        <is>
          <t>Saf Teknik</t>
        </is>
      </c>
      <c r="B28" s="44" t="inlineStr">
        <is>
          <t>SF-213</t>
        </is>
      </c>
      <c r="C28" s="44" t="inlineStr">
        <is>
          <t>Fan</t>
        </is>
      </c>
      <c r="D28" s="44" t="n">
        <v>190</v>
      </c>
      <c r="E28" s="53" t="n">
        <v>2000</v>
      </c>
      <c r="F28" s="53" t="n">
        <v>1551</v>
      </c>
      <c r="G28" s="53" t="n">
        <v>1.5</v>
      </c>
      <c r="H28" s="53" t="n"/>
      <c r="I28" s="53" t="n">
        <v>2900</v>
      </c>
      <c r="J28" s="53" t="n">
        <v>66</v>
      </c>
      <c r="K28" s="53" t="n"/>
      <c r="L28" s="44" t="inlineStr">
        <is>
          <t>-</t>
        </is>
      </c>
      <c r="M28" s="44" t="inlineStr">
        <is>
          <t>SF-213 radyal (santrifuj) transfer fani</t>
        </is>
      </c>
    </row>
    <row r="29">
      <c r="A29" s="20" t="inlineStr">
        <is>
          <t>Saf Teknik</t>
        </is>
      </c>
      <c r="B29" s="20" t="inlineStr">
        <is>
          <t>SF-214</t>
        </is>
      </c>
      <c r="C29" s="20" t="inlineStr">
        <is>
          <t>Fan</t>
        </is>
      </c>
      <c r="D29" s="20" t="n">
        <v>230</v>
      </c>
      <c r="E29" s="52" t="n">
        <v>3000</v>
      </c>
      <c r="F29" s="52" t="n">
        <v>1577</v>
      </c>
      <c r="G29" s="52" t="n">
        <v>2.2</v>
      </c>
      <c r="H29" s="52" t="n"/>
      <c r="I29" s="52" t="n">
        <v>2900</v>
      </c>
      <c r="J29" s="52" t="n">
        <v>66</v>
      </c>
      <c r="K29" s="52" t="n"/>
      <c r="L29" s="20" t="inlineStr">
        <is>
          <t>-</t>
        </is>
      </c>
      <c r="M29" s="20" t="inlineStr">
        <is>
          <t>SF-214 radyal (santrifuj) transfer fani</t>
        </is>
      </c>
    </row>
    <row r="30">
      <c r="A30" s="44" t="inlineStr">
        <is>
          <t>Saf Teknik</t>
        </is>
      </c>
      <c r="B30" s="44" t="inlineStr">
        <is>
          <t>SF-215</t>
        </is>
      </c>
      <c r="C30" s="44" t="inlineStr">
        <is>
          <t>Fan</t>
        </is>
      </c>
      <c r="D30" s="44" t="n">
        <v>270</v>
      </c>
      <c r="E30" s="53" t="n">
        <v>4000</v>
      </c>
      <c r="F30" s="53" t="n">
        <v>1603</v>
      </c>
      <c r="G30" s="53" t="n">
        <v>3</v>
      </c>
      <c r="H30" s="53" t="n"/>
      <c r="I30" s="53" t="n">
        <v>2900</v>
      </c>
      <c r="J30" s="53" t="n">
        <v>66</v>
      </c>
      <c r="K30" s="53" t="n"/>
      <c r="L30" s="44" t="inlineStr">
        <is>
          <t>-</t>
        </is>
      </c>
      <c r="M30" s="44" t="inlineStr">
        <is>
          <t>SF-215 radyal (santrifuj) transfer fani</t>
        </is>
      </c>
    </row>
    <row r="31">
      <c r="A31" s="20" t="inlineStr">
        <is>
          <t>Saf Teknik</t>
        </is>
      </c>
      <c r="B31" s="20" t="inlineStr">
        <is>
          <t>SF-216</t>
        </is>
      </c>
      <c r="C31" s="20" t="inlineStr">
        <is>
          <t>Fan</t>
        </is>
      </c>
      <c r="D31" s="20" t="n">
        <v>310</v>
      </c>
      <c r="E31" s="52" t="n">
        <v>5500</v>
      </c>
      <c r="F31" s="52" t="n">
        <v>1641</v>
      </c>
      <c r="G31" s="52" t="n">
        <v>4</v>
      </c>
      <c r="H31" s="52" t="n"/>
      <c r="I31" s="52" t="n">
        <v>2900</v>
      </c>
      <c r="J31" s="52" t="n">
        <v>66</v>
      </c>
      <c r="K31" s="52" t="n"/>
      <c r="L31" s="20" t="inlineStr">
        <is>
          <t>-</t>
        </is>
      </c>
      <c r="M31" s="20" t="inlineStr">
        <is>
          <t>SF-216 radyal (santrifuj) transfer fani</t>
        </is>
      </c>
    </row>
    <row r="32">
      <c r="A32" s="44" t="inlineStr">
        <is>
          <t>Saf Teknik</t>
        </is>
      </c>
      <c r="B32" s="44" t="inlineStr">
        <is>
          <t>SF-217</t>
        </is>
      </c>
      <c r="C32" s="44" t="inlineStr">
        <is>
          <t>Fan</t>
        </is>
      </c>
      <c r="D32" s="44" t="n">
        <v>350</v>
      </c>
      <c r="E32" s="53" t="n">
        <v>7000</v>
      </c>
      <c r="F32" s="53" t="n">
        <v>1680</v>
      </c>
      <c r="G32" s="53" t="n">
        <v>5.5</v>
      </c>
      <c r="H32" s="53" t="n"/>
      <c r="I32" s="53" t="n">
        <v>2900</v>
      </c>
      <c r="J32" s="53" t="n">
        <v>67</v>
      </c>
      <c r="K32" s="53" t="n"/>
      <c r="L32" s="44" t="inlineStr">
        <is>
          <t>-</t>
        </is>
      </c>
      <c r="M32" s="44" t="inlineStr">
        <is>
          <t>SF-217 radyal (santrifuj) transfer fani</t>
        </is>
      </c>
    </row>
    <row r="33">
      <c r="A33" s="20" t="inlineStr">
        <is>
          <t>Saf Teknik</t>
        </is>
      </c>
      <c r="B33" s="20" t="inlineStr">
        <is>
          <t>SF-218</t>
        </is>
      </c>
      <c r="C33" s="20" t="inlineStr">
        <is>
          <t>Fan</t>
        </is>
      </c>
      <c r="D33" s="20" t="n">
        <v>400</v>
      </c>
      <c r="E33" s="52" t="n">
        <v>9000</v>
      </c>
      <c r="F33" s="52" t="n">
        <v>1731</v>
      </c>
      <c r="G33" s="52" t="n">
        <v>7.5</v>
      </c>
      <c r="H33" s="52" t="n"/>
      <c r="I33" s="52" t="n">
        <v>1450</v>
      </c>
      <c r="J33" s="52" t="n">
        <v>67</v>
      </c>
      <c r="K33" s="52" t="n"/>
      <c r="L33" s="20" t="inlineStr">
        <is>
          <t>-</t>
        </is>
      </c>
      <c r="M33" s="20" t="inlineStr">
        <is>
          <t>SF-218 radyal (santrifuj) transfer fani</t>
        </is>
      </c>
    </row>
    <row r="34">
      <c r="A34" s="44" t="inlineStr">
        <is>
          <t>Saf Teknik</t>
        </is>
      </c>
      <c r="B34" s="44" t="inlineStr">
        <is>
          <t>SF-219</t>
        </is>
      </c>
      <c r="C34" s="44" t="inlineStr">
        <is>
          <t>Fan</t>
        </is>
      </c>
      <c r="D34" s="44" t="n">
        <v>460</v>
      </c>
      <c r="E34" s="53" t="n">
        <v>12000</v>
      </c>
      <c r="F34" s="53" t="n">
        <v>1809</v>
      </c>
      <c r="G34" s="53" t="n">
        <v>11</v>
      </c>
      <c r="H34" s="53" t="n"/>
      <c r="I34" s="53" t="n">
        <v>1450</v>
      </c>
      <c r="J34" s="53" t="n">
        <v>68</v>
      </c>
      <c r="K34" s="53" t="n"/>
      <c r="L34" s="44" t="inlineStr">
        <is>
          <t>-</t>
        </is>
      </c>
      <c r="M34" s="44" t="inlineStr">
        <is>
          <t>SF-219 radyal (santrifuj) transfer fani</t>
        </is>
      </c>
    </row>
    <row r="35">
      <c r="A35" s="20" t="inlineStr">
        <is>
          <t>Saf Teknik</t>
        </is>
      </c>
      <c r="B35" s="20" t="inlineStr">
        <is>
          <t>SF-2110</t>
        </is>
      </c>
      <c r="C35" s="20" t="inlineStr">
        <is>
          <t>Fan</t>
        </is>
      </c>
      <c r="D35" s="20" t="n">
        <v>530</v>
      </c>
      <c r="E35" s="52" t="n">
        <v>16000</v>
      </c>
      <c r="F35" s="52" t="n">
        <v>1911</v>
      </c>
      <c r="G35" s="52" t="n">
        <v>15</v>
      </c>
      <c r="H35" s="52" t="n"/>
      <c r="I35" s="52" t="n">
        <v>1450</v>
      </c>
      <c r="J35" s="52" t="n">
        <v>69</v>
      </c>
      <c r="K35" s="52" t="n"/>
      <c r="L35" s="20" t="inlineStr">
        <is>
          <t>-</t>
        </is>
      </c>
      <c r="M35" s="20" t="inlineStr">
        <is>
          <t>SF-2110 radyal (santrifuj) transfer fani</t>
        </is>
      </c>
    </row>
    <row r="36">
      <c r="A36" s="44" t="inlineStr">
        <is>
          <t>Saf Teknik</t>
        </is>
      </c>
      <c r="B36" s="44" t="inlineStr">
        <is>
          <t>SF-2111</t>
        </is>
      </c>
      <c r="C36" s="44" t="inlineStr">
        <is>
          <t>Fan</t>
        </is>
      </c>
      <c r="D36" s="44" t="n">
        <v>590</v>
      </c>
      <c r="E36" s="53" t="n">
        <v>20000</v>
      </c>
      <c r="F36" s="53" t="n">
        <v>2014</v>
      </c>
      <c r="G36" s="53" t="n">
        <v>18.5</v>
      </c>
      <c r="H36" s="53" t="n"/>
      <c r="I36" s="53" t="n">
        <v>1450</v>
      </c>
      <c r="J36" s="53" t="n">
        <v>70</v>
      </c>
      <c r="K36" s="53" t="n"/>
      <c r="L36" s="44" t="inlineStr">
        <is>
          <t>-</t>
        </is>
      </c>
      <c r="M36" s="44" t="inlineStr">
        <is>
          <t>SF-2111 radyal (santrifuj) transfer fani</t>
        </is>
      </c>
    </row>
    <row r="37">
      <c r="A37" s="20" t="inlineStr">
        <is>
          <t>Saf Teknik</t>
        </is>
      </c>
      <c r="B37" s="20" t="inlineStr">
        <is>
          <t>SF-2112</t>
        </is>
      </c>
      <c r="C37" s="20" t="inlineStr">
        <is>
          <t>Fan</t>
        </is>
      </c>
      <c r="D37" s="20" t="n">
        <v>680</v>
      </c>
      <c r="E37" s="52" t="n">
        <v>26000</v>
      </c>
      <c r="F37" s="52" t="n">
        <v>2169</v>
      </c>
      <c r="G37" s="52" t="n">
        <v>22</v>
      </c>
      <c r="H37" s="52" t="n"/>
      <c r="I37" s="52" t="n">
        <v>1450</v>
      </c>
      <c r="J37" s="52" t="n">
        <v>72</v>
      </c>
      <c r="K37" s="52" t="n"/>
      <c r="L37" s="20" t="inlineStr">
        <is>
          <t>-</t>
        </is>
      </c>
      <c r="M37" s="20" t="inlineStr">
        <is>
          <t>SF-2112 radyal (santrifuj) transfer fani</t>
        </is>
      </c>
    </row>
    <row r="38">
      <c r="A38" s="44" t="inlineStr">
        <is>
          <t>Siloma</t>
        </is>
      </c>
      <c r="B38" s="44" t="inlineStr">
        <is>
          <t>STF-218</t>
        </is>
      </c>
      <c r="C38" s="44" t="inlineStr">
        <is>
          <t>Fan</t>
        </is>
      </c>
      <c r="D38" s="44" t="n">
        <v>400</v>
      </c>
      <c r="E38" s="53" t="n">
        <v>9000</v>
      </c>
      <c r="F38" s="53" t="n">
        <v>1731</v>
      </c>
      <c r="G38" s="53" t="n">
        <v>7.5</v>
      </c>
      <c r="H38" s="53" t="n"/>
      <c r="I38" s="53" t="n">
        <v>1450</v>
      </c>
      <c r="J38" s="53" t="n">
        <v>67</v>
      </c>
      <c r="K38" s="53" t="n"/>
      <c r="L38" s="44" t="inlineStr">
        <is>
          <t>-</t>
        </is>
      </c>
      <c r="M38" s="44" t="inlineStr">
        <is>
          <t>STF-218 radyal (santrifuj) transfer fani</t>
        </is>
      </c>
    </row>
    <row r="39">
      <c r="A39" s="20" t="inlineStr">
        <is>
          <t>Siloma</t>
        </is>
      </c>
      <c r="B39" s="20" t="inlineStr">
        <is>
          <t>STF-2110</t>
        </is>
      </c>
      <c r="C39" s="20" t="inlineStr">
        <is>
          <t>Fan</t>
        </is>
      </c>
      <c r="D39" s="20" t="n">
        <v>530</v>
      </c>
      <c r="E39" s="52" t="n">
        <v>16000</v>
      </c>
      <c r="F39" s="52" t="n">
        <v>1911</v>
      </c>
      <c r="G39" s="52" t="n">
        <v>15</v>
      </c>
      <c r="H39" s="52" t="n"/>
      <c r="I39" s="52" t="n">
        <v>1450</v>
      </c>
      <c r="J39" s="52" t="n">
        <v>69</v>
      </c>
      <c r="K39" s="52" t="n"/>
      <c r="L39" s="20" t="inlineStr">
        <is>
          <t>-</t>
        </is>
      </c>
      <c r="M39" s="20" t="inlineStr">
        <is>
          <t>STF-2110 radyal (santrifuj) transfer fani</t>
        </is>
      </c>
    </row>
    <row r="40">
      <c r="A40" s="44" t="inlineStr">
        <is>
          <t>Siloma</t>
        </is>
      </c>
      <c r="B40" s="44" t="inlineStr">
        <is>
          <t>STF-2112</t>
        </is>
      </c>
      <c r="C40" s="44" t="inlineStr">
        <is>
          <t>Fan</t>
        </is>
      </c>
      <c r="D40" s="44" t="n">
        <v>680</v>
      </c>
      <c r="E40" s="53" t="n">
        <v>26000</v>
      </c>
      <c r="F40" s="53" t="n">
        <v>2169</v>
      </c>
      <c r="G40" s="53" t="n">
        <v>22</v>
      </c>
      <c r="H40" s="53" t="n"/>
      <c r="I40" s="53" t="n">
        <v>1450</v>
      </c>
      <c r="J40" s="53" t="n">
        <v>72</v>
      </c>
      <c r="K40" s="53" t="n"/>
      <c r="L40" s="44" t="inlineStr">
        <is>
          <t>-</t>
        </is>
      </c>
      <c r="M40" s="44" t="inlineStr">
        <is>
          <t>STF-2112 radyal (santrifuj) transfer fani</t>
        </is>
      </c>
    </row>
    <row r="41">
      <c r="A41" s="20" t="inlineStr">
        <is>
          <t>Siloma</t>
        </is>
      </c>
      <c r="B41" s="20" t="inlineStr">
        <is>
          <t>STF-2115</t>
        </is>
      </c>
      <c r="C41" s="20" t="inlineStr">
        <is>
          <t>Fan</t>
        </is>
      </c>
      <c r="D41" s="20" t="n">
        <v>790</v>
      </c>
      <c r="E41" s="52" t="n">
        <v>35000</v>
      </c>
      <c r="F41" s="52" t="n">
        <v>2400</v>
      </c>
      <c r="G41" s="52" t="n">
        <v>37</v>
      </c>
      <c r="H41" s="52" t="n"/>
      <c r="I41" s="52" t="n">
        <v>1450</v>
      </c>
      <c r="J41" s="52" t="n">
        <v>74</v>
      </c>
      <c r="K41" s="52" t="n"/>
      <c r="L41" s="20" t="inlineStr">
        <is>
          <t>-</t>
        </is>
      </c>
      <c r="M41" s="20" t="inlineStr">
        <is>
          <t>STF-2115 radyal (santrifuj) transfer fani</t>
        </is>
      </c>
    </row>
    <row r="42">
      <c r="A42" s="44" t="inlineStr">
        <is>
          <t>SMT Europe</t>
        </is>
      </c>
      <c r="B42" s="44" t="inlineStr">
        <is>
          <t>SMT-TF-10</t>
        </is>
      </c>
      <c r="C42" s="44" t="inlineStr">
        <is>
          <t>Fan</t>
        </is>
      </c>
      <c r="D42" s="44" t="n">
        <v>300</v>
      </c>
      <c r="E42" s="53" t="n">
        <v>5000</v>
      </c>
      <c r="F42" s="53" t="n">
        <v>1629</v>
      </c>
      <c r="G42" s="53" t="n">
        <v>4</v>
      </c>
      <c r="H42" s="53" t="n"/>
      <c r="I42" s="53" t="n">
        <v>2900</v>
      </c>
      <c r="J42" s="53" t="n">
        <v>66</v>
      </c>
      <c r="K42" s="53" t="n"/>
      <c r="L42" s="44" t="inlineStr">
        <is>
          <t>-</t>
        </is>
      </c>
      <c r="M42" s="44" t="inlineStr">
        <is>
          <t>SMT-TF-10 radyal (santrifuj) transfer fani</t>
        </is>
      </c>
    </row>
    <row r="43">
      <c r="A43" s="20" t="inlineStr">
        <is>
          <t>SMT Europe</t>
        </is>
      </c>
      <c r="B43" s="20" t="inlineStr">
        <is>
          <t>SMT-TF-20</t>
        </is>
      </c>
      <c r="C43" s="20" t="inlineStr">
        <is>
          <t>Fan</t>
        </is>
      </c>
      <c r="D43" s="20" t="n">
        <v>420</v>
      </c>
      <c r="E43" s="52" t="n">
        <v>10000</v>
      </c>
      <c r="F43" s="52" t="n">
        <v>1757</v>
      </c>
      <c r="G43" s="52" t="n">
        <v>7.5</v>
      </c>
      <c r="H43" s="52" t="n"/>
      <c r="I43" s="52" t="n">
        <v>1450</v>
      </c>
      <c r="J43" s="52" t="n">
        <v>68</v>
      </c>
      <c r="K43" s="52" t="n"/>
      <c r="L43" s="20" t="inlineStr">
        <is>
          <t>-</t>
        </is>
      </c>
      <c r="M43" s="20" t="inlineStr">
        <is>
          <t>SMT-TF-20 radyal (santrifuj) transfer fani</t>
        </is>
      </c>
    </row>
    <row r="44">
      <c r="A44" s="44" t="inlineStr">
        <is>
          <t>SMT Europe</t>
        </is>
      </c>
      <c r="B44" s="44" t="inlineStr">
        <is>
          <t>SMT-TF-30</t>
        </is>
      </c>
      <c r="C44" s="44" t="inlineStr">
        <is>
          <t>Fan</t>
        </is>
      </c>
      <c r="D44" s="44" t="n">
        <v>560</v>
      </c>
      <c r="E44" s="53" t="n">
        <v>18000</v>
      </c>
      <c r="F44" s="53" t="n">
        <v>1963</v>
      </c>
      <c r="G44" s="53" t="n">
        <v>15</v>
      </c>
      <c r="H44" s="53" t="n"/>
      <c r="I44" s="53" t="n">
        <v>1450</v>
      </c>
      <c r="J44" s="53" t="n">
        <v>70</v>
      </c>
      <c r="K44" s="53" t="n"/>
      <c r="L44" s="44" t="inlineStr">
        <is>
          <t>-</t>
        </is>
      </c>
      <c r="M44" s="44" t="inlineStr">
        <is>
          <t>SMT-TF-30 radyal (santrifuj) transfer fani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" customWidth="1" min="3" max="3"/>
    <col width="30" customWidth="1" min="4" max="4"/>
    <col width="22" customWidth="1" min="5" max="5"/>
  </cols>
  <sheetData>
    <row r="1" ht="30" customHeight="1">
      <c r="A1" s="1" t="inlineStr">
        <is>
          <t>TOZ EMME SISTEMI - TEKLIF OZETI</t>
        </is>
      </c>
      <c r="B1" s="2" t="n"/>
      <c r="C1" s="2" t="n"/>
      <c r="D1" s="2" t="n"/>
      <c r="E1" s="2" t="n"/>
    </row>
    <row r="3">
      <c r="A3" s="13" t="inlineStr">
        <is>
          <t>MUSTERI / PROJE BILGILERI</t>
        </is>
      </c>
      <c r="B3" s="14" t="n"/>
      <c r="C3" s="14" t="n"/>
      <c r="D3" s="14" t="n"/>
      <c r="E3" s="14" t="n"/>
    </row>
    <row r="4">
      <c r="A4" s="17" t="inlineStr">
        <is>
          <t>Musteri / Firma Adi:</t>
        </is>
      </c>
      <c r="B4" s="18" t="inlineStr"/>
      <c r="D4" s="17" t="inlineStr">
        <is>
          <t>Teklif No:</t>
        </is>
      </c>
      <c r="E4" s="18" t="inlineStr"/>
    </row>
    <row r="5">
      <c r="A5" s="17" t="inlineStr">
        <is>
          <t>Proje:</t>
        </is>
      </c>
      <c r="B5" s="18">
        <f>'Makine Giris'!B2</f>
        <v/>
      </c>
      <c r="D5" s="17" t="inlineStr">
        <is>
          <t>Tarih:</t>
        </is>
      </c>
      <c r="E5" s="19">
        <f>'Makine Giris'!E2</f>
        <v/>
      </c>
    </row>
    <row r="6">
      <c r="A6" s="17" t="inlineStr">
        <is>
          <t>Hazirlayan:</t>
        </is>
      </c>
      <c r="B6" s="18">
        <f>'Makine Giris'!H2</f>
        <v/>
      </c>
    </row>
    <row r="8">
      <c r="A8" s="13" t="inlineStr">
        <is>
          <t>SISTEM OZETI</t>
        </is>
      </c>
      <c r="B8" s="14" t="n"/>
      <c r="C8" s="14" t="n"/>
      <c r="D8" s="14" t="n"/>
      <c r="E8" s="14" t="n"/>
    </row>
    <row r="9">
      <c r="A9" s="17" t="inlineStr">
        <is>
          <t>Toplam Hava Debisi (m3/h)</t>
        </is>
      </c>
      <c r="B9" s="26">
        <f>'Borulama Hesaplari'!E4</f>
        <v/>
      </c>
    </row>
    <row r="10">
      <c r="A10" s="17" t="inlineStr">
        <is>
          <t>Ana Boru Capi (mm)</t>
        </is>
      </c>
      <c r="B10" s="26">
        <f>'Borulama Hesaplari'!E8</f>
        <v/>
      </c>
    </row>
    <row r="11">
      <c r="A11" s="17" t="inlineStr">
        <is>
          <t>Gercek Hava Hizi (m/s)</t>
        </is>
      </c>
      <c r="B11" s="54">
        <f>'Borulama Hesaplari'!E10</f>
        <v/>
      </c>
    </row>
    <row r="12">
      <c r="A12" s="17" t="inlineStr">
        <is>
          <t>Toplam Sistem Basinc Kaybi (Pa)</t>
        </is>
      </c>
      <c r="B12" s="26">
        <f>'Fan Secimi'!B7</f>
        <v/>
      </c>
    </row>
    <row r="13">
      <c r="A13" s="17" t="inlineStr">
        <is>
          <t>Secilen Filtre Modeli</t>
        </is>
      </c>
      <c r="B13" s="47">
        <f>'Filtre Secimi'!B9&amp;" - "&amp;'Filtre Secimi'!B10</f>
        <v/>
      </c>
    </row>
    <row r="14">
      <c r="A14" s="17" t="inlineStr">
        <is>
          <t>Filtre Alani (m2)</t>
        </is>
      </c>
      <c r="B14" s="55">
        <f>'Filtre Secimi'!B12</f>
        <v/>
      </c>
    </row>
    <row r="15">
      <c r="A15" s="17" t="inlineStr">
        <is>
          <t>Secilen Fan Modeli</t>
        </is>
      </c>
      <c r="B15" s="47">
        <f>'Fan Secimi'!B13&amp;" - "&amp;'Fan Secimi'!B14</f>
        <v/>
      </c>
    </row>
    <row r="16">
      <c r="A16" s="17" t="inlineStr">
        <is>
          <t>Fan Motor Gucu (kW)</t>
        </is>
      </c>
      <c r="B16" s="54">
        <f>'Fan Secimi'!B29</f>
        <v/>
      </c>
    </row>
    <row r="17">
      <c r="A17" s="17" t="inlineStr">
        <is>
          <t>Tahmini Enerji Tuketimi (kWh/gun)</t>
        </is>
      </c>
      <c r="B17" s="55">
        <f>'Fan Secimi'!B30</f>
        <v/>
      </c>
    </row>
    <row r="18">
      <c r="A18" s="17" t="inlineStr">
        <is>
          <t>Tahmini Enerji Tuketimi (kWh/yil)</t>
        </is>
      </c>
      <c r="B18" s="26">
        <f>'Fan Secimi'!B31</f>
        <v/>
      </c>
    </row>
    <row r="20">
      <c r="A20" s="13" t="inlineStr">
        <is>
          <t>KULLANILAN EKIPMAN LISTESI (BOM)</t>
        </is>
      </c>
      <c r="B20" s="14" t="n"/>
      <c r="C20" s="14" t="n"/>
      <c r="D20" s="14" t="n"/>
      <c r="E20" s="14" t="n"/>
    </row>
    <row r="21" ht="32" customHeight="1">
      <c r="A21" s="15" t="inlineStr">
        <is>
          <t>No</t>
        </is>
      </c>
      <c r="B21" s="15" t="inlineStr">
        <is>
          <t>Ekipman / Kalem</t>
        </is>
      </c>
      <c r="C21" s="15" t="inlineStr">
        <is>
          <t>Ozellik</t>
        </is>
      </c>
      <c r="D21" s="15" t="inlineStr">
        <is>
          <t>Miktar</t>
        </is>
      </c>
      <c r="E21" s="15" t="inlineStr">
        <is>
          <t>Birim</t>
        </is>
      </c>
    </row>
    <row r="22">
      <c r="A22" s="56" t="n">
        <v>1</v>
      </c>
      <c r="B22" s="57" t="inlineStr">
        <is>
          <t>Ana Boru Hatti</t>
        </is>
      </c>
      <c r="C22" s="56">
        <f>'Borulama Hesaplari'!E8&amp;" mm Cap"</f>
        <v/>
      </c>
      <c r="D22" s="56">
        <f>'Borulama Hesaplari'!B4</f>
        <v/>
      </c>
      <c r="E22" s="56" t="inlineStr">
        <is>
          <t>m</t>
        </is>
      </c>
    </row>
    <row r="23">
      <c r="A23" s="58" t="n">
        <v>2</v>
      </c>
      <c r="B23" s="59" t="inlineStr">
        <is>
          <t>Bransman Hatlari</t>
        </is>
      </c>
      <c r="C23" s="58">
        <f>'Borulama Hesaplari'!E8&amp;" mm Cap"</f>
        <v/>
      </c>
      <c r="D23" s="58">
        <f>'Borulama Hesaplari'!B5</f>
        <v/>
      </c>
      <c r="E23" s="58" t="inlineStr">
        <is>
          <t>m</t>
        </is>
      </c>
    </row>
    <row r="24">
      <c r="A24" s="56" t="n">
        <v>3</v>
      </c>
      <c r="B24" s="57" t="inlineStr">
        <is>
          <t>45 derece Dirsek</t>
        </is>
      </c>
      <c r="C24" s="56">
        <f>'Borulama Hesaplari'!B10</f>
        <v/>
      </c>
      <c r="D24" s="56">
        <f>'Borulama Hesaplari'!B6</f>
        <v/>
      </c>
      <c r="E24" s="56" t="inlineStr">
        <is>
          <t>adet</t>
        </is>
      </c>
    </row>
    <row r="25">
      <c r="A25" s="58" t="n">
        <v>4</v>
      </c>
      <c r="B25" s="59" t="inlineStr">
        <is>
          <t>90 derece Dirsek</t>
        </is>
      </c>
      <c r="C25" s="58">
        <f>'Borulama Hesaplari'!B10</f>
        <v/>
      </c>
      <c r="D25" s="58">
        <f>'Borulama Hesaplari'!B7</f>
        <v/>
      </c>
      <c r="E25" s="58" t="inlineStr">
        <is>
          <t>adet</t>
        </is>
      </c>
    </row>
    <row r="26">
      <c r="A26" s="56" t="n">
        <v>5</v>
      </c>
      <c r="B26" s="57" t="inlineStr">
        <is>
          <t>T Baglanti</t>
        </is>
      </c>
      <c r="C26" s="56">
        <f>'Borulama Hesaplari'!B10</f>
        <v/>
      </c>
      <c r="D26" s="56">
        <f>'Borulama Hesaplari'!B8</f>
        <v/>
      </c>
      <c r="E26" s="56" t="inlineStr">
        <is>
          <t>adet</t>
        </is>
      </c>
    </row>
    <row r="27">
      <c r="A27" s="58" t="n">
        <v>6</v>
      </c>
      <c r="B27" s="59" t="inlineStr">
        <is>
          <t>Reduksiyon</t>
        </is>
      </c>
      <c r="C27" s="58">
        <f>'Borulama Hesaplari'!B10</f>
        <v/>
      </c>
      <c r="D27" s="58">
        <f>'Borulama Hesaplari'!B9</f>
        <v/>
      </c>
      <c r="E27" s="58" t="inlineStr">
        <is>
          <t>adet</t>
        </is>
      </c>
    </row>
    <row r="28">
      <c r="A28" s="56" t="n">
        <v>7</v>
      </c>
      <c r="B28" s="57" t="inlineStr">
        <is>
          <t>Filtre Unitesi</t>
        </is>
      </c>
      <c r="C28" s="56">
        <f>'Filtre Secimi'!B9&amp;" "&amp;'Filtre Secimi'!B10</f>
        <v/>
      </c>
      <c r="D28" s="56" t="inlineStr">
        <is>
          <t>1</t>
        </is>
      </c>
      <c r="E28" s="56" t="inlineStr">
        <is>
          <t>adet</t>
        </is>
      </c>
    </row>
    <row r="29">
      <c r="A29" s="58" t="n">
        <v>8</v>
      </c>
      <c r="B29" s="59" t="inlineStr">
        <is>
          <t>Fan (Aspirator)</t>
        </is>
      </c>
      <c r="C29" s="58">
        <f>'Fan Secimi'!B13&amp;" "&amp;'Fan Secimi'!B14</f>
        <v/>
      </c>
      <c r="D29" s="58" t="inlineStr">
        <is>
          <t>1</t>
        </is>
      </c>
      <c r="E29" s="58" t="inlineStr">
        <is>
          <t>adet</t>
        </is>
      </c>
    </row>
    <row r="31">
      <c r="A31" s="60" t="inlineStr">
        <is>
          <t>Bu teklif ozeti otomatik hesaplama araci ile olusturulmustur. Kesin fiyatlandirma ve teknik onay icin yetkili satis muhendisi ile gorusulmesi tavsiye edilir.</t>
        </is>
      </c>
    </row>
  </sheetData>
  <mergeCells count="14">
    <mergeCell ref="B26"/>
    <mergeCell ref="A20:E20"/>
    <mergeCell ref="B21"/>
    <mergeCell ref="B29"/>
    <mergeCell ref="B25"/>
    <mergeCell ref="B24"/>
    <mergeCell ref="A1:E1"/>
    <mergeCell ref="B27"/>
    <mergeCell ref="B28"/>
    <mergeCell ref="A8:E8"/>
    <mergeCell ref="B22"/>
    <mergeCell ref="A31:E31"/>
    <mergeCell ref="B2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2026-06-18T20:01:45Z</dcterms:created>
  <dcterms:modified xsi:type="dcterms:W3CDTF">2026-06-18T20:01:45Z</dcterms:modified>
</cp:coreProperties>
</file>