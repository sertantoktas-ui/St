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kine Giris" sheetId="2" state="visible" r:id="rId2"/>
    <sheet name="Borulama Hesaplari" sheetId="3" state="visible" r:id="rId3"/>
    <sheet name="Fabrika Yerlesim Plani" sheetId="4" state="visible" r:id="rId4"/>
    <sheet name="Boru Capi Tablosu" sheetId="5" state="visible" r:id="rId5"/>
    <sheet name="Filtre Secimi" sheetId="6" state="visible" r:id="rId6"/>
    <sheet name="Fan Secimi" sheetId="7" state="visible" r:id="rId7"/>
    <sheet name="Urun Veritabani" sheetId="8" state="visible" r:id="rId8"/>
    <sheet name="Teklif Ozeti" sheetId="9" state="visible" r:id="rId9"/>
  </sheets>
  <definedNames>
    <definedName name="ToplamHavaDebisi">'Borulama Hesaplari'!$E$4</definedName>
    <definedName name="AnaBoruCapi">'Borulama Hesaplari'!$E$8</definedName>
    <definedName name="ToplamBasincKaybi">'Fan Secimi'!$B$7</definedName>
    <definedName name="StandartCaplar">'Boru Capi Tablosu'!$B$5:$B$27</definedName>
    <definedName name="FiltreModeli">'Filtre Secimi'!$B$10</definedName>
    <definedName name="FanModeli">'Fan Secimi'!$B$14</definedName>
    <definedName name="FanMotorGucu">'Fan Secimi'!$B$29</definedName>
    <definedName name="EnerjiYillik">'Fan Secimi'!$B$31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0.0000"/>
    <numFmt numFmtId="166" formatCode="dd.mm.yyyy"/>
    <numFmt numFmtId="167" formatCode="0.0"/>
    <numFmt numFmtId="168" formatCode="0.000"/>
    <numFmt numFmtId="169" formatCode="#,##0 &quot;m3/h&quot;"/>
    <numFmt numFmtId="170" formatCode="#,##0 &quot;mm&quot;"/>
    <numFmt numFmtId="171" formatCode="0.0 &quot;m/s&quot;"/>
    <numFmt numFmtId="172" formatCode="#,##0 &quot;Pa&quot;"/>
    <numFmt numFmtId="173" formatCode="0.0 &quot;kW&quot;"/>
    <numFmt numFmtId="174" formatCode="#,##0 &quot;kWh&quot;"/>
    <numFmt numFmtId="175" formatCode="#,##0.0 &quot;m2&quot;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C00000"/>
      <sz val="9"/>
    </font>
    <font>
      <name val="Calibri"/>
      <b val="1"/>
      <color rgb="00FFFFFF"/>
      <sz val="10"/>
    </font>
    <font>
      <name val="Calibri"/>
      <i val="1"/>
      <color rgb="00555555"/>
      <sz val="10"/>
    </font>
    <font>
      <b val="1"/>
    </font>
    <font>
      <name val="Calibri"/>
      <b val="1"/>
      <color rgb="001F3864"/>
      <sz val="10"/>
    </font>
    <font>
      <name val="Calibri"/>
      <b val="1"/>
      <color rgb="000033CC"/>
      <sz val="10"/>
    </font>
    <font>
      <name val="Calibri"/>
      <color rgb="00000000"/>
      <sz val="10"/>
    </font>
    <font>
      <b val="1"/>
      <sz val="11"/>
    </font>
    <font>
      <name val="Calibri"/>
      <b val="1"/>
      <color rgb="001F3864"/>
      <sz val="11"/>
    </font>
    <font>
      <b val="1"/>
      <color rgb="001F3864"/>
      <sz val="11"/>
    </font>
    <font>
      <b val="1"/>
      <color rgb="001F3864"/>
      <sz val="12"/>
    </font>
    <font>
      <b val="1"/>
      <color rgb="001F3864"/>
      <sz val="13"/>
    </font>
    <font>
      <b val="1"/>
      <color rgb="001F3864"/>
      <sz val="8"/>
    </font>
    <font>
      <sz val="10"/>
    </font>
    <font>
      <i val="1"/>
      <color rgb="00777777"/>
      <sz val="9"/>
    </font>
    <font>
      <b val="1"/>
      <color rgb="00FFFFFF"/>
      <sz val="10"/>
    </font>
    <font>
      <b val="1"/>
      <color rgb="001F3864"/>
      <sz val="15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7F9F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C6E0B4"/>
      </patternFill>
    </fill>
  </fills>
  <borders count="20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 style="thin">
        <color rgb="00B7B7B7"/>
      </right>
      <top/>
      <bottom style="thin">
        <color rgb="00B7B7B7"/>
      </bottom>
      <diagonal/>
    </border>
    <border>
      <left/>
      <right style="thin">
        <color rgb="00B7B7B7"/>
      </right>
      <top/>
      <bottom/>
      <diagonal/>
    </border>
    <border>
      <left style="hair">
        <color rgb="00C9C9C9"/>
      </left>
      <right style="hair">
        <color rgb="00C9C9C9"/>
      </right>
      <top style="hair">
        <color rgb="00C9C9C9"/>
      </top>
      <bottom style="hair">
        <color rgb="00C9C9C9"/>
      </bottom>
    </border>
    <border>
      <left style="hair">
        <color rgb="00C9C9C9"/>
      </left>
      <right style="hair">
        <color rgb="00C9C9C9"/>
      </right>
      <top style="thick">
        <color rgb="00000000"/>
      </top>
      <bottom style="hair">
        <color rgb="00C9C9C9"/>
      </bottom>
    </border>
    <border>
      <left style="hair">
        <color rgb="00C9C9C9"/>
      </left>
      <right style="hair">
        <color rgb="00C9C9C9"/>
      </right>
      <top style="hair">
        <color rgb="00C9C9C9"/>
      </top>
      <bottom style="thick">
        <color rgb="00000000"/>
      </bottom>
    </border>
    <border>
      <left style="thick">
        <color rgb="00000000"/>
      </left>
      <right style="hair">
        <color rgb="00C9C9C9"/>
      </right>
      <top style="hair">
        <color rgb="00C9C9C9"/>
      </top>
      <bottom style="hair">
        <color rgb="00C9C9C9"/>
      </bottom>
    </border>
    <border>
      <left style="hair">
        <color rgb="00C9C9C9"/>
      </left>
      <right style="thick">
        <color rgb="00000000"/>
      </right>
      <top style="hair">
        <color rgb="00C9C9C9"/>
      </top>
      <bottom style="hair">
        <color rgb="00C9C9C9"/>
      </bottom>
    </border>
    <border>
      <left style="thick">
        <color rgb="00000000"/>
      </left>
      <right style="hair">
        <color rgb="00C9C9C9"/>
      </right>
      <top style="thick">
        <color rgb="00000000"/>
      </top>
      <bottom style="hair">
        <color rgb="00C9C9C9"/>
      </bottom>
    </border>
    <border>
      <left style="hair">
        <color rgb="00C9C9C9"/>
      </left>
      <right style="thick">
        <color rgb="00000000"/>
      </right>
      <top style="thick">
        <color rgb="00000000"/>
      </top>
      <bottom style="hair">
        <color rgb="00C9C9C9"/>
      </bottom>
    </border>
    <border>
      <left style="thick">
        <color rgb="00000000"/>
      </left>
      <right style="hair">
        <color rgb="00C9C9C9"/>
      </right>
      <top style="hair">
        <color rgb="00C9C9C9"/>
      </top>
      <bottom style="thick">
        <color rgb="00000000"/>
      </bottom>
    </border>
    <border>
      <left style="hair">
        <color rgb="00C9C9C9"/>
      </left>
      <right style="thick">
        <color rgb="00000000"/>
      </right>
      <top style="hair">
        <color rgb="00C9C9C9"/>
      </top>
      <bottom style="thick">
        <color rgb="00000000"/>
      </bottom>
    </border>
    <border>
      <left style="hair">
        <color rgb="00C9C9C9"/>
      </left>
      <right style="hair">
        <color rgb="00C9C9C9"/>
      </right>
      <top style="hair">
        <color rgb="00C9C9C9"/>
      </top>
      <bottom style="thick">
        <color rgb="001F3864"/>
      </bottom>
    </border>
    <border>
      <left style="hair">
        <color rgb="00C9C9C9"/>
      </left>
      <right style="medium">
        <color rgb="002E5395"/>
      </right>
      <top style="hair">
        <color rgb="00C9C9C9"/>
      </top>
      <bottom style="thick">
        <color rgb="001F3864"/>
      </bottom>
    </border>
    <border>
      <left style="hair">
        <color rgb="00C9C9C9"/>
      </left>
      <right style="medium">
        <color rgb="002E5395"/>
      </right>
      <top style="hair">
        <color rgb="00C9C9C9"/>
      </top>
      <bottom style="hair">
        <color rgb="00C9C9C9"/>
      </bottom>
    </border>
    <border>
      <left/>
      <right/>
      <top style="hair">
        <color rgb="00C9C9C9"/>
      </top>
      <bottom/>
      <diagonal/>
    </border>
    <border>
      <left/>
      <right style="hair">
        <color rgb="00C9C9C9"/>
      </right>
      <top style="hair">
        <color rgb="00C9C9C9"/>
      </top>
      <bottom/>
      <diagonal/>
    </border>
    <border>
      <left/>
      <right/>
      <top style="hair">
        <color rgb="00C9C9C9"/>
      </top>
      <bottom style="hair">
        <color rgb="00C9C9C9"/>
      </bottom>
      <diagonal/>
    </border>
    <border>
      <left/>
      <right style="hair">
        <color rgb="00C9C9C9"/>
      </right>
      <top style="hair">
        <color rgb="00C9C9C9"/>
      </top>
      <bottom style="hair">
        <color rgb="00C9C9C9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5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0" fontId="6" fillId="0" borderId="0" pivotButton="0" quotePrefix="0" xfId="0"/>
    <xf numFmtId="0" fontId="7" fillId="5" borderId="1" applyAlignment="1" pivotButton="0" quotePrefix="0" xfId="0">
      <alignment horizontal="center"/>
    </xf>
    <xf numFmtId="166" fontId="7" fillId="5" borderId="1" applyAlignment="1" pivotButton="0" quotePrefix="0" xfId="0">
      <alignment horizontal="center"/>
    </xf>
    <xf numFmtId="3" fontId="7" fillId="5" borderId="1" applyAlignment="1" pivotButton="0" quotePrefix="0" xfId="0">
      <alignment horizontal="center"/>
    </xf>
    <xf numFmtId="1" fontId="7" fillId="5" borderId="1" applyAlignment="1" pivotButton="0" quotePrefix="0" xfId="0">
      <alignment horizontal="center"/>
    </xf>
    <xf numFmtId="3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3" fontId="10" fillId="6" borderId="1" applyAlignment="1" pivotButton="0" quotePrefix="0" xfId="0">
      <alignment horizontal="center"/>
    </xf>
    <xf numFmtId="0" fontId="11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0" fontId="11" fillId="7" borderId="2" applyAlignment="1" pivotButton="0" quotePrefix="0" xfId="0">
      <alignment horizontal="left" vertical="center" indent="1"/>
    </xf>
    <xf numFmtId="0" fontId="0" fillId="7" borderId="2" pivotButton="0" quotePrefix="0" xfId="0"/>
    <xf numFmtId="164" fontId="7" fillId="5" borderId="1" applyAlignment="1" pivotButton="0" quotePrefix="0" xfId="0">
      <alignment horizontal="center"/>
    </xf>
    <xf numFmtId="168" fontId="8" fillId="6" borderId="1" applyAlignment="1" pivotButton="0" quotePrefix="0" xfId="0">
      <alignment horizontal="center"/>
    </xf>
    <xf numFmtId="165" fontId="8" fillId="6" borderId="1" applyAlignment="1" pivotButton="0" quotePrefix="0" xfId="0">
      <alignment horizontal="center"/>
    </xf>
    <xf numFmtId="164" fontId="8" fillId="6" borderId="1" applyAlignment="1" pivotButton="0" quotePrefix="0" xfId="0">
      <alignment horizontal="center"/>
    </xf>
    <xf numFmtId="2" fontId="10" fillId="6" borderId="1" applyAlignment="1" pivotButton="0" quotePrefix="0" xfId="0">
      <alignment horizontal="center"/>
    </xf>
    <xf numFmtId="167" fontId="7" fillId="5" borderId="1" applyAlignment="1" pivotButton="0" quotePrefix="0" xfId="0">
      <alignment horizontal="center"/>
    </xf>
    <xf numFmtId="2" fontId="8" fillId="6" borderId="1" applyAlignment="1" pivotButton="0" quotePrefix="0" xfId="0">
      <alignment horizontal="center"/>
    </xf>
    <xf numFmtId="0" fontId="0" fillId="0" borderId="1" pivotButton="0" quotePrefix="0" xfId="0"/>
    <xf numFmtId="168" fontId="0" fillId="0" borderId="1" applyAlignment="1" pivotButton="0" quotePrefix="0" xfId="0">
      <alignment horizontal="center"/>
    </xf>
    <xf numFmtId="0" fontId="12" fillId="0" borderId="0" pivotButton="0" quotePrefix="0" xfId="0"/>
    <xf numFmtId="3" fontId="13" fillId="8" borderId="1" applyAlignment="1" pivotButton="0" quotePrefix="0" xfId="0">
      <alignment horizontal="center"/>
    </xf>
    <xf numFmtId="0" fontId="5" fillId="0" borderId="1" applyAlignment="1" pivotButton="0" quotePrefix="0" xfId="0">
      <alignment horizontal="center" wrapText="1"/>
    </xf>
    <xf numFmtId="2" fontId="0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center" wrapText="1"/>
    </xf>
    <xf numFmtId="0" fontId="0" fillId="0" borderId="9" pivotButton="0" quotePrefix="0" xfId="0"/>
    <xf numFmtId="0" fontId="0" fillId="0" borderId="5" pivotButton="0" quotePrefix="0" xfId="0"/>
    <xf numFmtId="0" fontId="0" fillId="0" borderId="10" pivotButton="0" quotePrefix="0" xfId="0"/>
    <xf numFmtId="0" fontId="0" fillId="0" borderId="7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14" fillId="0" borderId="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14" fillId="0" borderId="4" applyAlignment="1" pivotButton="0" quotePrefix="0" xfId="0">
      <alignment horizontal="center"/>
    </xf>
    <xf numFmtId="0" fontId="0" fillId="0" borderId="11" pivotButton="0" quotePrefix="0" xfId="0"/>
    <xf numFmtId="0" fontId="0" fillId="0" borderId="6" pivotButton="0" quotePrefix="0" xfId="0"/>
    <xf numFmtId="0" fontId="0" fillId="0" borderId="12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3" borderId="1" applyAlignment="1" pivotButton="0" quotePrefix="0" xfId="0">
      <alignment horizontal="center"/>
    </xf>
    <xf numFmtId="169" fontId="18" fillId="6" borderId="1" applyAlignment="1" pivotButton="0" quotePrefix="0" xfId="0">
      <alignment horizontal="center" vertical="center"/>
    </xf>
    <xf numFmtId="170" fontId="18" fillId="6" borderId="1" applyAlignment="1" pivotButton="0" quotePrefix="0" xfId="0">
      <alignment horizontal="center" vertical="center"/>
    </xf>
    <xf numFmtId="171" fontId="18" fillId="6" borderId="1" applyAlignment="1" pivotButton="0" quotePrefix="0" xfId="0">
      <alignment horizontal="center" vertical="center"/>
    </xf>
    <xf numFmtId="172" fontId="18" fillId="6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  <xf numFmtId="173" fontId="18" fillId="6" borderId="1" applyAlignment="1" pivotButton="0" quotePrefix="0" xfId="0">
      <alignment horizontal="center" vertical="center"/>
    </xf>
    <xf numFmtId="174" fontId="18" fillId="6" borderId="1" applyAlignment="1" pivotButton="0" quotePrefix="0" xfId="0">
      <alignment horizontal="center" vertical="center"/>
    </xf>
    <xf numFmtId="175" fontId="18" fillId="6" borderId="1" applyAlignment="1" pivotButton="0" quotePrefix="0" xfId="0">
      <alignment horizontal="center" vertical="center"/>
    </xf>
    <xf numFmtId="3" fontId="0" fillId="0" borderId="1" pivotButton="0" quotePrefix="0" xfId="0"/>
    <xf numFmtId="0" fontId="10" fillId="6" borderId="1" applyAlignment="1" pivotButton="0" quotePrefix="0" xfId="0">
      <alignment horizontal="center"/>
    </xf>
    <xf numFmtId="0" fontId="5" fillId="6" borderId="1" applyAlignment="1" pivotButton="0" quotePrefix="0" xfId="0">
      <alignment horizontal="center" wrapText="1"/>
    </xf>
    <xf numFmtId="3" fontId="10" fillId="8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167" fontId="10" fillId="6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left" wrapText="1"/>
    </xf>
    <xf numFmtId="0" fontId="0" fillId="4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left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Basinc Kaybi Bilesenleri (Pa)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'Dashboard'!B11</f>
            </strRef>
          </tx>
          <spPr>
            <a:ln>
              <a:prstDash val="solid"/>
            </a:ln>
          </spPr>
          <cat>
            <numRef>
              <f>'Dashboard'!$A$12:$A$14</f>
            </numRef>
          </cat>
          <val>
            <numRef>
              <f>'Dashboard'!$B$12:$B$14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Makine Bazli Toplam Debi (m3/h)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'Makine Giris'!J4</f>
            </strRef>
          </tx>
          <spPr>
            <a:ln>
              <a:prstDash val="solid"/>
            </a:ln>
          </spPr>
          <cat>
            <numRef>
              <f>'Makine Giris'!$B$5:$B$24</f>
            </numRef>
          </cat>
          <val>
            <numRef>
              <f>'Makine Giris'!$J$5:$J$24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m3/h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10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10</row>
      <rowOff>0</rowOff>
    </from>
    <ext cx="152400" cy="152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10</row>
      <rowOff>0</rowOff>
    </from>
    <ext cx="152400" cy="1524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21</col>
      <colOff>0</colOff>
      <row>10</row>
      <rowOff>0</rowOff>
    </from>
    <ext cx="152400" cy="1524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29</col>
      <colOff>0</colOff>
      <row>10</row>
      <rowOff>0</rowOff>
    </from>
    <ext cx="152400" cy="1524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37</col>
      <colOff>0</colOff>
      <row>10</row>
      <rowOff>0</rowOff>
    </from>
    <ext cx="152400" cy="1524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45</col>
      <colOff>0</colOff>
      <row>10</row>
      <rowOff>0</rowOff>
    </from>
    <ext cx="152400" cy="1524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18</row>
      <rowOff>0</rowOff>
    </from>
    <ext cx="152400" cy="1524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18</row>
      <rowOff>0</rowOff>
    </from>
    <ext cx="152400" cy="1524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21</col>
      <colOff>0</colOff>
      <row>18</row>
      <rowOff>0</rowOff>
    </from>
    <ext cx="152400" cy="1524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29</col>
      <colOff>0</colOff>
      <row>18</row>
      <rowOff>0</rowOff>
    </from>
    <ext cx="152400" cy="1524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37</col>
      <colOff>0</colOff>
      <row>18</row>
      <rowOff>0</rowOff>
    </from>
    <ext cx="152400" cy="1524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45</col>
      <colOff>0</colOff>
      <row>18</row>
      <rowOff>0</rowOff>
    </from>
    <ext cx="152400" cy="1524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26</row>
      <rowOff>0</rowOff>
    </from>
    <ext cx="152400" cy="1524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26</row>
      <rowOff>0</rowOff>
    </from>
    <ext cx="152400" cy="1524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21</col>
      <colOff>0</colOff>
      <row>26</row>
      <rowOff>0</rowOff>
    </from>
    <ext cx="152400" cy="1524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29</col>
      <colOff>0</colOff>
      <row>26</row>
      <rowOff>0</rowOff>
    </from>
    <ext cx="152400" cy="1524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37</col>
      <colOff>0</colOff>
      <row>26</row>
      <rowOff>0</rowOff>
    </from>
    <ext cx="152400" cy="1524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45</col>
      <colOff>0</colOff>
      <row>26</row>
      <rowOff>0</rowOff>
    </from>
    <ext cx="152400" cy="1524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34</row>
      <rowOff>0</rowOff>
    </from>
    <ext cx="152400" cy="1524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34</row>
      <rowOff>0</rowOff>
    </from>
    <ext cx="152400" cy="1524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21</col>
      <colOff>0</colOff>
      <row>34</row>
      <rowOff>0</rowOff>
    </from>
    <ext cx="152400" cy="1524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29</col>
      <colOff>0</colOff>
      <row>34</row>
      <rowOff>0</rowOff>
    </from>
    <ext cx="152400" cy="1524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37</col>
      <colOff>0</colOff>
      <row>34</row>
      <rowOff>0</rowOff>
    </from>
    <ext cx="152400" cy="1524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45</col>
      <colOff>0</colOff>
      <row>34</row>
      <rowOff>0</rowOff>
    </from>
    <ext cx="152400" cy="1524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10</col>
      <colOff>0</colOff>
      <row>21</row>
      <rowOff>0</rowOff>
    </from>
    <ext cx="419100" cy="3143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22</col>
      <colOff>0</colOff>
      <row>21</row>
      <rowOff>0</rowOff>
    </from>
    <ext cx="419100" cy="31432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34</col>
      <colOff>0</colOff>
      <row>21</row>
      <rowOff>0</rowOff>
    </from>
    <ext cx="419100" cy="31432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6</row>
      <rowOff>0</rowOff>
    </from>
    <ext cx="476250" cy="4762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46</col>
      <colOff>0</colOff>
      <row>6</row>
      <rowOff>0</rowOff>
    </from>
    <ext cx="476250" cy="4762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342900" cy="2286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342900" cy="2286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342900" cy="2286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342900" cy="2286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342900" cy="2286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342900" cy="2286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342900" cy="2286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</wsDr>
</file>

<file path=xl/tables/table1.xml><?xml version="1.0" encoding="utf-8"?>
<table xmlns="http://schemas.openxmlformats.org/spreadsheetml/2006/main" id="1" name="tblUrunDB" displayName="tblUrunDB" ref="A4:M44" headerRowCount="1">
  <autoFilter ref="A4:M44"/>
  <tableColumns count="13">
    <tableColumn id="1" name="Marka"/>
    <tableColumn id="2" name="Urun Kodu"/>
    <tableColumn id="3" name="Urun Tipi"/>
    <tableColumn id="4" name="Cap (mm)"/>
    <tableColumn id="5" name="Debi (m3/h)"/>
    <tableColumn id="6" name="Basinc (Pa)"/>
    <tableColumn id="7" name="Motor Gucu (kW)"/>
    <tableColumn id="8" name="Filtre Alani (m2)"/>
    <tableColumn id="9" name="Fan Devri (rpm)"/>
    <tableColumn id="10" name="Fan Verimi (%)"/>
    <tableColumn id="11" name="Hava Tanki Hacmi (m3)"/>
    <tableColumn id="12" name="Temizlik Sistemi"/>
    <tableColumn id="13" name="Aciklam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4" customWidth="1" min="3" max="3"/>
    <col width="26" customWidth="1" min="4" max="4"/>
    <col width="18" customWidth="1" min="5" max="5"/>
    <col width="4" customWidth="1" min="6" max="6"/>
    <col width="26" customWidth="1" min="7" max="7"/>
    <col width="18" customWidth="1" min="8" max="8"/>
  </cols>
  <sheetData>
    <row r="1" ht="30" customHeight="1">
      <c r="A1" s="1" t="inlineStr">
        <is>
          <t>TOZ EMME SISTEMI - GOSTERGE PANELI (DASHBOARD)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59" t="inlineStr">
        <is>
          <t>Toplam Hava Debisi</t>
        </is>
      </c>
      <c r="B3" s="34" t="n"/>
      <c r="D3" s="59" t="inlineStr">
        <is>
          <t>Ana Boru Capi</t>
        </is>
      </c>
      <c r="E3" s="34" t="n"/>
      <c r="G3" s="59" t="inlineStr">
        <is>
          <t>Gercek Hava Hizi</t>
        </is>
      </c>
      <c r="H3" s="34" t="n"/>
    </row>
    <row r="4" ht="30" customHeight="1">
      <c r="A4" s="60">
        <f>'Borulama Hesaplari'!E4</f>
        <v/>
      </c>
      <c r="B4" s="34" t="n"/>
      <c r="D4" s="61">
        <f>'Borulama Hesaplari'!E8</f>
        <v/>
      </c>
      <c r="E4" s="34" t="n"/>
      <c r="G4" s="62">
        <f>'Borulama Hesaplari'!E10</f>
        <v/>
      </c>
      <c r="H4" s="34" t="n"/>
    </row>
    <row r="5">
      <c r="A5" s="59" t="inlineStr">
        <is>
          <t>Toplam Basinc Kaybi</t>
        </is>
      </c>
      <c r="B5" s="34" t="n"/>
      <c r="D5" s="59" t="inlineStr">
        <is>
          <t>Secilen Filtre</t>
        </is>
      </c>
      <c r="E5" s="34" t="n"/>
      <c r="G5" s="59" t="inlineStr">
        <is>
          <t>Secilen Fan</t>
        </is>
      </c>
      <c r="H5" s="34" t="n"/>
    </row>
    <row r="6" ht="30" customHeight="1">
      <c r="A6" s="63">
        <f>'Fan Secimi'!B7</f>
        <v/>
      </c>
      <c r="B6" s="34" t="n"/>
      <c r="D6" s="64">
        <f>'Filtre Secimi'!B10</f>
        <v/>
      </c>
      <c r="E6" s="34" t="n"/>
      <c r="G6" s="64">
        <f>'Fan Secimi'!B14</f>
        <v/>
      </c>
      <c r="H6" s="34" t="n"/>
    </row>
    <row r="7">
      <c r="A7" s="59" t="inlineStr">
        <is>
          <t>Fan Motor Gucu</t>
        </is>
      </c>
      <c r="B7" s="34" t="n"/>
      <c r="D7" s="59" t="inlineStr">
        <is>
          <t>Yillik Enerji Tuketimi</t>
        </is>
      </c>
      <c r="E7" s="34" t="n"/>
      <c r="G7" s="59" t="inlineStr">
        <is>
          <t>Filtre Alani</t>
        </is>
      </c>
      <c r="H7" s="34" t="n"/>
    </row>
    <row r="8" ht="30" customHeight="1">
      <c r="A8" s="65">
        <f>'Fan Secimi'!B29</f>
        <v/>
      </c>
      <c r="B8" s="34" t="n"/>
      <c r="D8" s="66">
        <f>'Fan Secimi'!B31</f>
        <v/>
      </c>
      <c r="E8" s="34" t="n"/>
      <c r="G8" s="67">
        <f>'Filtre Secimi'!B12</f>
        <v/>
      </c>
      <c r="H8" s="34" t="n"/>
    </row>
    <row r="10">
      <c r="A10" s="23" t="inlineStr">
        <is>
          <t>BASINC KAYBI BILESENLERI</t>
        </is>
      </c>
      <c r="B10" s="24" t="n"/>
      <c r="C10" s="24" t="n"/>
      <c r="D10" s="24" t="n"/>
    </row>
    <row r="11" ht="32" customHeight="1">
      <c r="A11" s="4" t="inlineStr">
        <is>
          <t>Bilesen</t>
        </is>
      </c>
      <c r="B11" s="4" t="inlineStr">
        <is>
          <t>Deger (Pa)</t>
        </is>
      </c>
    </row>
    <row r="12">
      <c r="A12" s="34" t="inlineStr">
        <is>
          <t>Statik (Surtunme) Kaybi</t>
        </is>
      </c>
      <c r="B12" s="68">
        <f>'Borulama Hesaplari'!E14</f>
        <v/>
      </c>
    </row>
    <row r="13">
      <c r="A13" s="34" t="inlineStr">
        <is>
          <t>Dinamik (Yerel) Kaybi</t>
        </is>
      </c>
      <c r="B13" s="68">
        <f>'Borulama Hesaplari'!E16</f>
        <v/>
      </c>
    </row>
    <row r="14">
      <c r="A14" s="34" t="inlineStr">
        <is>
          <t>Filtre Basinc Kaybi</t>
        </is>
      </c>
      <c r="B14" s="68">
        <f>'Filtre Secimi'!B23</f>
        <v/>
      </c>
    </row>
    <row r="27">
      <c r="A27" s="23" t="inlineStr">
        <is>
          <t>MAKINE BAZLI HAVA DEBISI DAGILIMI</t>
        </is>
      </c>
      <c r="B27" s="24" t="n"/>
      <c r="C27" s="24" t="n"/>
      <c r="D27" s="24" t="n"/>
      <c r="E27" s="24" t="n"/>
      <c r="F27" s="24" t="n"/>
      <c r="G27" s="24" t="n"/>
      <c r="H27" s="24" t="n"/>
    </row>
  </sheetData>
  <mergeCells count="21">
    <mergeCell ref="A1:H1"/>
    <mergeCell ref="G8:H8"/>
    <mergeCell ref="A10:D10"/>
    <mergeCell ref="A6:B6"/>
    <mergeCell ref="D6:E6"/>
    <mergeCell ref="A7:B7"/>
    <mergeCell ref="G7:H7"/>
    <mergeCell ref="G6:H6"/>
    <mergeCell ref="A27:H27"/>
    <mergeCell ref="A3:B3"/>
    <mergeCell ref="G3:H3"/>
    <mergeCell ref="D7:E7"/>
    <mergeCell ref="A5:B5"/>
    <mergeCell ref="G5:H5"/>
    <mergeCell ref="D4:E4"/>
    <mergeCell ref="A8:B8"/>
    <mergeCell ref="D3:E3"/>
    <mergeCell ref="A4:B4"/>
    <mergeCell ref="G4:H4"/>
    <mergeCell ref="D8:E8"/>
    <mergeCell ref="D5:E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4" customWidth="1" min="1" max="1"/>
    <col width="22" customWidth="1" min="2" max="2"/>
    <col width="18" customWidth="1" min="3" max="3"/>
    <col width="9" customWidth="1" min="4" max="4"/>
    <col width="10" customWidth="1" min="5" max="5"/>
    <col width="12" customWidth="1" min="6" max="6"/>
    <col width="14" customWidth="1" min="7" max="7"/>
    <col width="12" customWidth="1" min="8" max="8"/>
    <col width="11" customWidth="1" min="9" max="9"/>
    <col width="13" customWidth="1" min="10" max="10"/>
    <col width="13" customWidth="1" min="11" max="11"/>
    <col width="16" customWidth="1" min="12" max="12"/>
  </cols>
  <sheetData>
    <row r="1" ht="26" customHeight="1">
      <c r="A1" s="1" t="inlineStr">
        <is>
          <t>MAKINE GIRIS SAYFASI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14" t="inlineStr">
        <is>
          <t>Proje Adi:</t>
        </is>
      </c>
      <c r="B2" s="15" t="inlineStr"/>
      <c r="D2" s="14" t="inlineStr">
        <is>
          <t>Tarih:</t>
        </is>
      </c>
      <c r="E2" s="16" t="n"/>
      <c r="G2" s="14" t="inlineStr">
        <is>
          <t>Hazirlayan:</t>
        </is>
      </c>
      <c r="H2" s="15" t="inlineStr"/>
    </row>
    <row r="4" ht="32" customHeight="1">
      <c r="A4" s="4" t="inlineStr">
        <is>
          <t>No</t>
        </is>
      </c>
      <c r="B4" s="4" t="inlineStr">
        <is>
          <t>Makine Adi</t>
        </is>
      </c>
      <c r="C4" s="4" t="inlineStr">
        <is>
          <t>Makine Tipi</t>
        </is>
      </c>
      <c r="D4" s="4" t="inlineStr">
        <is>
          <t>Makine
Adedi</t>
        </is>
      </c>
      <c r="E4" s="4" t="inlineStr">
        <is>
          <t>Emis
Noktasi Sayisi</t>
        </is>
      </c>
      <c r="F4" s="4" t="inlineStr">
        <is>
          <t>Emis Noktasi
Capi (mm)</t>
        </is>
      </c>
      <c r="G4" s="4" t="inlineStr">
        <is>
          <t>Makine Hava
Debisi (m3/h)</t>
        </is>
      </c>
      <c r="H4" s="4" t="inlineStr">
        <is>
          <t>Eszamanli
Calisma K.(%)</t>
        </is>
      </c>
      <c r="I4" s="4" t="inlineStr">
        <is>
          <t>Calisma
Suresi (sa/gun)</t>
        </is>
      </c>
      <c r="J4" s="4" t="inlineStr">
        <is>
          <t>Toplam Debi
(m3/h)</t>
        </is>
      </c>
      <c r="K4" s="4" t="inlineStr">
        <is>
          <t>Gunluk Tuketim
(m3/gun)</t>
        </is>
      </c>
      <c r="L4" s="4" t="inlineStr">
        <is>
          <t>Durum</t>
        </is>
      </c>
    </row>
    <row r="5" ht="18" customHeight="1">
      <c r="A5" s="5" t="n">
        <v>1</v>
      </c>
      <c r="B5" s="15" t="inlineStr"/>
      <c r="C5" s="15" t="inlineStr"/>
      <c r="D5" s="17" t="inlineStr"/>
      <c r="E5" s="17" t="inlineStr"/>
      <c r="F5" s="17" t="inlineStr"/>
      <c r="G5" s="17" t="inlineStr"/>
      <c r="H5" s="18" t="n">
        <v>100</v>
      </c>
      <c r="I5" s="18" t="n">
        <v>8</v>
      </c>
      <c r="J5" s="19">
        <f>IF(B5="","",D5*G5*(H5/100))</f>
        <v/>
      </c>
      <c r="K5" s="19">
        <f>IF(B5="","",J5*I5)</f>
        <v/>
      </c>
      <c r="L5" s="20">
        <f>IF(B5="","Bos Satir",IF(OR(D5&lt;=0,G5&lt;=0,H5&lt;=0,H5&gt;100),"HATA: Kontrol Et","OK"))</f>
        <v/>
      </c>
    </row>
    <row r="6" ht="18" customHeight="1">
      <c r="A6" s="5" t="n">
        <v>2</v>
      </c>
      <c r="B6" s="15" t="inlineStr"/>
      <c r="C6" s="15" t="inlineStr"/>
      <c r="D6" s="17" t="inlineStr"/>
      <c r="E6" s="17" t="inlineStr"/>
      <c r="F6" s="17" t="inlineStr"/>
      <c r="G6" s="17" t="inlineStr"/>
      <c r="H6" s="18" t="n">
        <v>100</v>
      </c>
      <c r="I6" s="18" t="n">
        <v>8</v>
      </c>
      <c r="J6" s="19">
        <f>IF(B6="","",D6*G6*(H6/100))</f>
        <v/>
      </c>
      <c r="K6" s="19">
        <f>IF(B6="","",J6*I6)</f>
        <v/>
      </c>
      <c r="L6" s="20">
        <f>IF(B6="","Bos Satir",IF(OR(D6&lt;=0,G6&lt;=0,H6&lt;=0,H6&gt;100),"HATA: Kontrol Et","OK"))</f>
        <v/>
      </c>
    </row>
    <row r="7" ht="18" customHeight="1">
      <c r="A7" s="5" t="n">
        <v>3</v>
      </c>
      <c r="B7" s="15" t="inlineStr"/>
      <c r="C7" s="15" t="inlineStr"/>
      <c r="D7" s="17" t="inlineStr"/>
      <c r="E7" s="17" t="inlineStr"/>
      <c r="F7" s="17" t="inlineStr"/>
      <c r="G7" s="17" t="inlineStr"/>
      <c r="H7" s="18" t="n">
        <v>100</v>
      </c>
      <c r="I7" s="18" t="n">
        <v>8</v>
      </c>
      <c r="J7" s="19">
        <f>IF(B7="","",D7*G7*(H7/100))</f>
        <v/>
      </c>
      <c r="K7" s="19">
        <f>IF(B7="","",J7*I7)</f>
        <v/>
      </c>
      <c r="L7" s="20">
        <f>IF(B7="","Bos Satir",IF(OR(D7&lt;=0,G7&lt;=0,H7&lt;=0,H7&gt;100),"HATA: Kontrol Et","OK"))</f>
        <v/>
      </c>
    </row>
    <row r="8" ht="18" customHeight="1">
      <c r="A8" s="5" t="n">
        <v>4</v>
      </c>
      <c r="B8" s="15" t="inlineStr"/>
      <c r="C8" s="15" t="inlineStr"/>
      <c r="D8" s="17" t="inlineStr"/>
      <c r="E8" s="17" t="inlineStr"/>
      <c r="F8" s="17" t="inlineStr"/>
      <c r="G8" s="17" t="inlineStr"/>
      <c r="H8" s="18" t="n">
        <v>100</v>
      </c>
      <c r="I8" s="18" t="n">
        <v>8</v>
      </c>
      <c r="J8" s="19">
        <f>IF(B8="","",D8*G8*(H8/100))</f>
        <v/>
      </c>
      <c r="K8" s="19">
        <f>IF(B8="","",J8*I8)</f>
        <v/>
      </c>
      <c r="L8" s="20">
        <f>IF(B8="","Bos Satir",IF(OR(D8&lt;=0,G8&lt;=0,H8&lt;=0,H8&gt;100),"HATA: Kontrol Et","OK"))</f>
        <v/>
      </c>
    </row>
    <row r="9" ht="18" customHeight="1">
      <c r="A9" s="5" t="n">
        <v>5</v>
      </c>
      <c r="B9" s="15" t="inlineStr"/>
      <c r="C9" s="15" t="inlineStr"/>
      <c r="D9" s="17" t="inlineStr"/>
      <c r="E9" s="17" t="inlineStr"/>
      <c r="F9" s="17" t="inlineStr"/>
      <c r="G9" s="17" t="inlineStr"/>
      <c r="H9" s="18" t="n">
        <v>100</v>
      </c>
      <c r="I9" s="18" t="n">
        <v>8</v>
      </c>
      <c r="J9" s="19">
        <f>IF(B9="","",D9*G9*(H9/100))</f>
        <v/>
      </c>
      <c r="K9" s="19">
        <f>IF(B9="","",J9*I9)</f>
        <v/>
      </c>
      <c r="L9" s="20">
        <f>IF(B9="","Bos Satir",IF(OR(D9&lt;=0,G9&lt;=0,H9&lt;=0,H9&gt;100),"HATA: Kontrol Et","OK"))</f>
        <v/>
      </c>
    </row>
    <row r="10" ht="18" customHeight="1">
      <c r="A10" s="5" t="n">
        <v>6</v>
      </c>
      <c r="B10" s="15" t="inlineStr"/>
      <c r="C10" s="15" t="inlineStr"/>
      <c r="D10" s="17" t="inlineStr"/>
      <c r="E10" s="17" t="inlineStr"/>
      <c r="F10" s="17" t="inlineStr"/>
      <c r="G10" s="17" t="inlineStr"/>
      <c r="H10" s="18" t="n">
        <v>100</v>
      </c>
      <c r="I10" s="18" t="n">
        <v>8</v>
      </c>
      <c r="J10" s="19">
        <f>IF(B10="","",D10*G10*(H10/100))</f>
        <v/>
      </c>
      <c r="K10" s="19">
        <f>IF(B10="","",J10*I10)</f>
        <v/>
      </c>
      <c r="L10" s="20">
        <f>IF(B10="","Bos Satir",IF(OR(D10&lt;=0,G10&lt;=0,H10&lt;=0,H10&gt;100),"HATA: Kontrol Et","OK"))</f>
        <v/>
      </c>
    </row>
    <row r="11" ht="18" customHeight="1">
      <c r="A11" s="5" t="n">
        <v>7</v>
      </c>
      <c r="B11" s="15" t="inlineStr"/>
      <c r="C11" s="15" t="inlineStr"/>
      <c r="D11" s="17" t="inlineStr"/>
      <c r="E11" s="17" t="inlineStr"/>
      <c r="F11" s="17" t="inlineStr"/>
      <c r="G11" s="17" t="inlineStr"/>
      <c r="H11" s="18" t="n">
        <v>100</v>
      </c>
      <c r="I11" s="18" t="n">
        <v>8</v>
      </c>
      <c r="J11" s="19">
        <f>IF(B11="","",D11*G11*(H11/100))</f>
        <v/>
      </c>
      <c r="K11" s="19">
        <f>IF(B11="","",J11*I11)</f>
        <v/>
      </c>
      <c r="L11" s="20">
        <f>IF(B11="","Bos Satir",IF(OR(D11&lt;=0,G11&lt;=0,H11&lt;=0,H11&gt;100),"HATA: Kontrol Et","OK"))</f>
        <v/>
      </c>
    </row>
    <row r="12" ht="18" customHeight="1">
      <c r="A12" s="5" t="n">
        <v>8</v>
      </c>
      <c r="B12" s="15" t="inlineStr"/>
      <c r="C12" s="15" t="inlineStr"/>
      <c r="D12" s="17" t="inlineStr"/>
      <c r="E12" s="17" t="inlineStr"/>
      <c r="F12" s="17" t="inlineStr"/>
      <c r="G12" s="17" t="inlineStr"/>
      <c r="H12" s="18" t="n">
        <v>100</v>
      </c>
      <c r="I12" s="18" t="n">
        <v>8</v>
      </c>
      <c r="J12" s="19">
        <f>IF(B12="","",D12*G12*(H12/100))</f>
        <v/>
      </c>
      <c r="K12" s="19">
        <f>IF(B12="","",J12*I12)</f>
        <v/>
      </c>
      <c r="L12" s="20">
        <f>IF(B12="","Bos Satir",IF(OR(D12&lt;=0,G12&lt;=0,H12&lt;=0,H12&gt;100),"HATA: Kontrol Et","OK"))</f>
        <v/>
      </c>
    </row>
    <row r="13" ht="18" customHeight="1">
      <c r="A13" s="5" t="n">
        <v>9</v>
      </c>
      <c r="B13" s="15" t="inlineStr"/>
      <c r="C13" s="15" t="inlineStr"/>
      <c r="D13" s="17" t="inlineStr"/>
      <c r="E13" s="17" t="inlineStr"/>
      <c r="F13" s="17" t="inlineStr"/>
      <c r="G13" s="17" t="inlineStr"/>
      <c r="H13" s="18" t="n">
        <v>100</v>
      </c>
      <c r="I13" s="18" t="n">
        <v>8</v>
      </c>
      <c r="J13" s="19">
        <f>IF(B13="","",D13*G13*(H13/100))</f>
        <v/>
      </c>
      <c r="K13" s="19">
        <f>IF(B13="","",J13*I13)</f>
        <v/>
      </c>
      <c r="L13" s="20">
        <f>IF(B13="","Bos Satir",IF(OR(D13&lt;=0,G13&lt;=0,H13&lt;=0,H13&gt;100),"HATA: Kontrol Et","OK"))</f>
        <v/>
      </c>
    </row>
    <row r="14" ht="18" customHeight="1">
      <c r="A14" s="5" t="n">
        <v>10</v>
      </c>
      <c r="B14" s="15" t="inlineStr"/>
      <c r="C14" s="15" t="inlineStr"/>
      <c r="D14" s="17" t="inlineStr"/>
      <c r="E14" s="17" t="inlineStr"/>
      <c r="F14" s="17" t="inlineStr"/>
      <c r="G14" s="17" t="inlineStr"/>
      <c r="H14" s="18" t="n">
        <v>100</v>
      </c>
      <c r="I14" s="18" t="n">
        <v>8</v>
      </c>
      <c r="J14" s="19">
        <f>IF(B14="","",D14*G14*(H14/100))</f>
        <v/>
      </c>
      <c r="K14" s="19">
        <f>IF(B14="","",J14*I14)</f>
        <v/>
      </c>
      <c r="L14" s="20">
        <f>IF(B14="","Bos Satir",IF(OR(D14&lt;=0,G14&lt;=0,H14&lt;=0,H14&gt;100),"HATA: Kontrol Et","OK"))</f>
        <v/>
      </c>
    </row>
    <row r="15" ht="18" customHeight="1">
      <c r="A15" s="5" t="n">
        <v>11</v>
      </c>
      <c r="B15" s="15" t="inlineStr"/>
      <c r="C15" s="15" t="inlineStr"/>
      <c r="D15" s="17" t="inlineStr"/>
      <c r="E15" s="17" t="inlineStr"/>
      <c r="F15" s="17" t="inlineStr"/>
      <c r="G15" s="17" t="inlineStr"/>
      <c r="H15" s="18" t="n">
        <v>100</v>
      </c>
      <c r="I15" s="18" t="n">
        <v>8</v>
      </c>
      <c r="J15" s="19">
        <f>IF(B15="","",D15*G15*(H15/100))</f>
        <v/>
      </c>
      <c r="K15" s="19">
        <f>IF(B15="","",J15*I15)</f>
        <v/>
      </c>
      <c r="L15" s="20">
        <f>IF(B15="","Bos Satir",IF(OR(D15&lt;=0,G15&lt;=0,H15&lt;=0,H15&gt;100),"HATA: Kontrol Et","OK"))</f>
        <v/>
      </c>
    </row>
    <row r="16" ht="18" customHeight="1">
      <c r="A16" s="5" t="n">
        <v>12</v>
      </c>
      <c r="B16" s="15" t="inlineStr"/>
      <c r="C16" s="15" t="inlineStr"/>
      <c r="D16" s="17" t="inlineStr"/>
      <c r="E16" s="17" t="inlineStr"/>
      <c r="F16" s="17" t="inlineStr"/>
      <c r="G16" s="17" t="inlineStr"/>
      <c r="H16" s="18" t="n">
        <v>100</v>
      </c>
      <c r="I16" s="18" t="n">
        <v>8</v>
      </c>
      <c r="J16" s="19">
        <f>IF(B16="","",D16*G16*(H16/100))</f>
        <v/>
      </c>
      <c r="K16" s="19">
        <f>IF(B16="","",J16*I16)</f>
        <v/>
      </c>
      <c r="L16" s="20">
        <f>IF(B16="","Bos Satir",IF(OR(D16&lt;=0,G16&lt;=0,H16&lt;=0,H16&gt;100),"HATA: Kontrol Et","OK"))</f>
        <v/>
      </c>
    </row>
    <row r="17" ht="18" customHeight="1">
      <c r="A17" s="5" t="n">
        <v>13</v>
      </c>
      <c r="B17" s="15" t="inlineStr"/>
      <c r="C17" s="15" t="inlineStr"/>
      <c r="D17" s="17" t="inlineStr"/>
      <c r="E17" s="17" t="inlineStr"/>
      <c r="F17" s="17" t="inlineStr"/>
      <c r="G17" s="17" t="inlineStr"/>
      <c r="H17" s="18" t="n">
        <v>100</v>
      </c>
      <c r="I17" s="18" t="n">
        <v>8</v>
      </c>
      <c r="J17" s="19">
        <f>IF(B17="","",D17*G17*(H17/100))</f>
        <v/>
      </c>
      <c r="K17" s="19">
        <f>IF(B17="","",J17*I17)</f>
        <v/>
      </c>
      <c r="L17" s="20">
        <f>IF(B17="","Bos Satir",IF(OR(D17&lt;=0,G17&lt;=0,H17&lt;=0,H17&gt;100),"HATA: Kontrol Et","OK"))</f>
        <v/>
      </c>
    </row>
    <row r="18" ht="18" customHeight="1">
      <c r="A18" s="5" t="n">
        <v>14</v>
      </c>
      <c r="B18" s="15" t="inlineStr"/>
      <c r="C18" s="15" t="inlineStr"/>
      <c r="D18" s="17" t="inlineStr"/>
      <c r="E18" s="17" t="inlineStr"/>
      <c r="F18" s="17" t="inlineStr"/>
      <c r="G18" s="17" t="inlineStr"/>
      <c r="H18" s="18" t="n">
        <v>100</v>
      </c>
      <c r="I18" s="18" t="n">
        <v>8</v>
      </c>
      <c r="J18" s="19">
        <f>IF(B18="","",D18*G18*(H18/100))</f>
        <v/>
      </c>
      <c r="K18" s="19">
        <f>IF(B18="","",J18*I18)</f>
        <v/>
      </c>
      <c r="L18" s="20">
        <f>IF(B18="","Bos Satir",IF(OR(D18&lt;=0,G18&lt;=0,H18&lt;=0,H18&gt;100),"HATA: Kontrol Et","OK"))</f>
        <v/>
      </c>
    </row>
    <row r="19" ht="18" customHeight="1">
      <c r="A19" s="5" t="n">
        <v>15</v>
      </c>
      <c r="B19" s="15" t="inlineStr"/>
      <c r="C19" s="15" t="inlineStr"/>
      <c r="D19" s="17" t="inlineStr"/>
      <c r="E19" s="17" t="inlineStr"/>
      <c r="F19" s="17" t="inlineStr"/>
      <c r="G19" s="17" t="inlineStr"/>
      <c r="H19" s="18" t="n">
        <v>100</v>
      </c>
      <c r="I19" s="18" t="n">
        <v>8</v>
      </c>
      <c r="J19" s="19">
        <f>IF(B19="","",D19*G19*(H19/100))</f>
        <v/>
      </c>
      <c r="K19" s="19">
        <f>IF(B19="","",J19*I19)</f>
        <v/>
      </c>
      <c r="L19" s="20">
        <f>IF(B19="","Bos Satir",IF(OR(D19&lt;=0,G19&lt;=0,H19&lt;=0,H19&gt;100),"HATA: Kontrol Et","OK"))</f>
        <v/>
      </c>
    </row>
    <row r="20" ht="18" customHeight="1">
      <c r="A20" s="5" t="n">
        <v>16</v>
      </c>
      <c r="B20" s="15" t="inlineStr"/>
      <c r="C20" s="15" t="inlineStr"/>
      <c r="D20" s="17" t="inlineStr"/>
      <c r="E20" s="17" t="inlineStr"/>
      <c r="F20" s="17" t="inlineStr"/>
      <c r="G20" s="17" t="inlineStr"/>
      <c r="H20" s="18" t="n">
        <v>100</v>
      </c>
      <c r="I20" s="18" t="n">
        <v>8</v>
      </c>
      <c r="J20" s="19">
        <f>IF(B20="","",D20*G20*(H20/100))</f>
        <v/>
      </c>
      <c r="K20" s="19">
        <f>IF(B20="","",J20*I20)</f>
        <v/>
      </c>
      <c r="L20" s="20">
        <f>IF(B20="","Bos Satir",IF(OR(D20&lt;=0,G20&lt;=0,H20&lt;=0,H20&gt;100),"HATA: Kontrol Et","OK"))</f>
        <v/>
      </c>
    </row>
    <row r="21" ht="18" customHeight="1">
      <c r="A21" s="5" t="n">
        <v>17</v>
      </c>
      <c r="B21" s="15" t="inlineStr"/>
      <c r="C21" s="15" t="inlineStr"/>
      <c r="D21" s="17" t="inlineStr"/>
      <c r="E21" s="17" t="inlineStr"/>
      <c r="F21" s="17" t="inlineStr"/>
      <c r="G21" s="17" t="inlineStr"/>
      <c r="H21" s="18" t="n">
        <v>100</v>
      </c>
      <c r="I21" s="18" t="n">
        <v>8</v>
      </c>
      <c r="J21" s="19">
        <f>IF(B21="","",D21*G21*(H21/100))</f>
        <v/>
      </c>
      <c r="K21" s="19">
        <f>IF(B21="","",J21*I21)</f>
        <v/>
      </c>
      <c r="L21" s="20">
        <f>IF(B21="","Bos Satir",IF(OR(D21&lt;=0,G21&lt;=0,H21&lt;=0,H21&gt;100),"HATA: Kontrol Et","OK"))</f>
        <v/>
      </c>
    </row>
    <row r="22" ht="18" customHeight="1">
      <c r="A22" s="5" t="n">
        <v>18</v>
      </c>
      <c r="B22" s="15" t="inlineStr"/>
      <c r="C22" s="15" t="inlineStr"/>
      <c r="D22" s="17" t="inlineStr"/>
      <c r="E22" s="17" t="inlineStr"/>
      <c r="F22" s="17" t="inlineStr"/>
      <c r="G22" s="17" t="inlineStr"/>
      <c r="H22" s="18" t="n">
        <v>100</v>
      </c>
      <c r="I22" s="18" t="n">
        <v>8</v>
      </c>
      <c r="J22" s="19">
        <f>IF(B22="","",D22*G22*(H22/100))</f>
        <v/>
      </c>
      <c r="K22" s="19">
        <f>IF(B22="","",J22*I22)</f>
        <v/>
      </c>
      <c r="L22" s="20">
        <f>IF(B22="","Bos Satir",IF(OR(D22&lt;=0,G22&lt;=0,H22&lt;=0,H22&gt;100),"HATA: Kontrol Et","OK"))</f>
        <v/>
      </c>
    </row>
    <row r="23" ht="18" customHeight="1">
      <c r="A23" s="5" t="n">
        <v>19</v>
      </c>
      <c r="B23" s="15" t="inlineStr"/>
      <c r="C23" s="15" t="inlineStr"/>
      <c r="D23" s="17" t="inlineStr"/>
      <c r="E23" s="17" t="inlineStr"/>
      <c r="F23" s="17" t="inlineStr"/>
      <c r="G23" s="17" t="inlineStr"/>
      <c r="H23" s="18" t="n">
        <v>100</v>
      </c>
      <c r="I23" s="18" t="n">
        <v>8</v>
      </c>
      <c r="J23" s="19">
        <f>IF(B23="","",D23*G23*(H23/100))</f>
        <v/>
      </c>
      <c r="K23" s="19">
        <f>IF(B23="","",J23*I23)</f>
        <v/>
      </c>
      <c r="L23" s="20">
        <f>IF(B23="","Bos Satir",IF(OR(D23&lt;=0,G23&lt;=0,H23&lt;=0,H23&gt;100),"HATA: Kontrol Et","OK"))</f>
        <v/>
      </c>
    </row>
    <row r="24" ht="18" customHeight="1">
      <c r="A24" s="5" t="n">
        <v>20</v>
      </c>
      <c r="B24" s="15" t="inlineStr"/>
      <c r="C24" s="15" t="inlineStr"/>
      <c r="D24" s="17" t="inlineStr"/>
      <c r="E24" s="17" t="inlineStr"/>
      <c r="F24" s="17" t="inlineStr"/>
      <c r="G24" s="17" t="inlineStr"/>
      <c r="H24" s="18" t="n">
        <v>100</v>
      </c>
      <c r="I24" s="18" t="n">
        <v>8</v>
      </c>
      <c r="J24" s="19">
        <f>IF(B24="","",D24*G24*(H24/100))</f>
        <v/>
      </c>
      <c r="K24" s="19">
        <f>IF(B24="","",J24*I24)</f>
        <v/>
      </c>
      <c r="L24" s="20">
        <f>IF(B24="","Bos Satir",IF(OR(D24&lt;=0,G24&lt;=0,H24&lt;=0,H24&gt;100),"HATA: Kontrol Et","OK"))</f>
        <v/>
      </c>
    </row>
    <row r="25" ht="20" customHeight="1">
      <c r="B25" s="21" t="inlineStr">
        <is>
          <t>TOPLAM</t>
        </is>
      </c>
      <c r="J25" s="22">
        <f>SUM(J5:J24)</f>
        <v/>
      </c>
      <c r="K25" s="22">
        <f>SUM(K5:K24)</f>
        <v/>
      </c>
    </row>
  </sheetData>
  <mergeCells count="3">
    <mergeCell ref="B25:I25"/>
    <mergeCell ref="A1:L1"/>
    <mergeCell ref="I2:L2"/>
  </mergeCells>
  <conditionalFormatting sqref="L5:L24">
    <cfRule type="expression" priority="1" dxfId="0">
      <formula>ISNUMBER(SEARCH("HATA",L5))</formula>
    </cfRule>
    <cfRule type="expression" priority="2" dxfId="1">
      <formula>L5="OK"</formula>
    </cfRule>
  </conditionalFormatting>
  <dataValidations count="3">
    <dataValidation sqref="C5:C24" showDropDown="0" showInputMessage="0" showErrorMessage="1" allowBlank="1" errorTitle="Gecersiz Tip" error="Listeden bir makine tipi seciniz." type="list">
      <formula1>"Planya,Kalinlik Makinesi,Serit Testere,Daire Testere,CNC Router,Zimpara Makinesi,Delik Makinesi,Pres,Diger"</formula1>
    </dataValidation>
    <dataValidation sqref="H5:H24" showDropDown="0" showInputMessage="0" showErrorMessage="1" allowBlank="1" errorTitle="Gecersiz Deger" error="Eszamanli calisma katsayisi 0-100 arasinda olmalidir." type="decimal" operator="between">
      <formula1>0</formula1>
      <formula2>100</formula2>
    </dataValidation>
    <dataValidation sqref="D5:G24 I5:I24" showDropDown="0" showInputMessage="0" showErrorMessage="1" allowBlank="1" errorTitle="Gecersiz Deger" error="Negatif deger girilemez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zoomScale="100" workbookViewId="0">
      <selection activeCell="A1" sqref="A1"/>
    </sheetView>
  </sheetViews>
  <sheetFormatPr baseColWidth="8" defaultRowHeight="15" outlineLevelCol="0"/>
  <cols>
    <col width="34" customWidth="1" min="1" max="1"/>
    <col width="16" customWidth="1" min="2" max="2"/>
    <col width="4" customWidth="1" min="3" max="3"/>
    <col width="40" customWidth="1" min="4" max="4"/>
    <col width="16" customWidth="1" min="5" max="5"/>
  </cols>
  <sheetData>
    <row r="1" ht="26" customHeight="1">
      <c r="A1" s="1" t="inlineStr">
        <is>
          <t>BORULAMA HESAPLARI</t>
        </is>
      </c>
      <c r="B1" s="2" t="n"/>
      <c r="C1" s="2" t="n"/>
      <c r="D1" s="2" t="n"/>
      <c r="E1" s="2" t="n"/>
    </row>
    <row r="3">
      <c r="A3" s="23" t="inlineStr">
        <is>
          <t>GIRIS VERILERI</t>
        </is>
      </c>
      <c r="B3" s="24" t="n"/>
    </row>
    <row r="4">
      <c r="A4" s="25" t="inlineStr"/>
      <c r="B4" s="26" t="n"/>
      <c r="D4" s="14" t="inlineStr">
        <is>
          <t>Toplam Hava Debisi (m3/h)</t>
        </is>
      </c>
      <c r="E4" s="19">
        <f>IFERROR('Makine Giris'!J25,0)</f>
        <v/>
      </c>
    </row>
    <row r="5">
      <c r="A5" s="14" t="inlineStr">
        <is>
          <t>Bransman (Dal Hatti) Uzunlugu (m)</t>
        </is>
      </c>
      <c r="B5" s="27" t="n">
        <v>25</v>
      </c>
      <c r="D5" s="14" t="inlineStr">
        <is>
          <t>Toplam Hava Debisi (m3/s)</t>
        </is>
      </c>
      <c r="E5" s="28">
        <f>E4/3600</f>
        <v/>
      </c>
    </row>
    <row r="6">
      <c r="A6" s="14" t="inlineStr">
        <is>
          <t>45 derece Dirsek Sayisi (adet)</t>
        </is>
      </c>
      <c r="B6" s="18" t="n">
        <v>4</v>
      </c>
      <c r="D6" s="14" t="inlineStr">
        <is>
          <t>Gerekli Boru Kesit Alani (m2)</t>
        </is>
      </c>
      <c r="E6" s="29">
        <f>E5/B11</f>
        <v/>
      </c>
    </row>
    <row r="7">
      <c r="A7" s="14" t="inlineStr">
        <is>
          <t>90 derece Dirsek Sayisi (adet)</t>
        </is>
      </c>
      <c r="B7" s="18" t="n">
        <v>6</v>
      </c>
      <c r="D7" s="14" t="inlineStr">
        <is>
          <t>Gerekli Boru Capi (mm)</t>
        </is>
      </c>
      <c r="E7" s="30">
        <f>SQRT(4*E6/PI())*1000</f>
        <v/>
      </c>
    </row>
    <row r="8">
      <c r="A8" s="14" t="inlineStr">
        <is>
          <t>T Baglanti Sayisi (adet)</t>
        </is>
      </c>
      <c r="B8" s="18" t="n">
        <v>5</v>
      </c>
      <c r="D8" s="14" t="inlineStr">
        <is>
          <t>Onerilen Standart Cap (mm)</t>
        </is>
      </c>
      <c r="E8" s="22">
        <f>_xlfn.XLOOKUP(E7,'Boru Capi Tablosu'!$B$5:$B$27,'Boru Capi Tablosu'!$B$5:$B$27,,1)</f>
        <v/>
      </c>
    </row>
    <row r="9">
      <c r="A9" s="14" t="inlineStr">
        <is>
          <t>Reduksiyon Sayisi (adet)</t>
        </is>
      </c>
      <c r="B9" s="18" t="n">
        <v>3</v>
      </c>
      <c r="D9" s="14" t="inlineStr">
        <is>
          <t>Secilen Borunun Kesit Alani (m2)</t>
        </is>
      </c>
      <c r="E9" s="29">
        <f>PI()/4*(E8/1000)^2</f>
        <v/>
      </c>
    </row>
    <row r="10">
      <c r="A10" s="14" t="inlineStr">
        <is>
          <t>Boru Malzemesi</t>
        </is>
      </c>
      <c r="B10" s="15" t="inlineStr">
        <is>
          <t>Galvanizli Sac</t>
        </is>
      </c>
      <c r="D10" s="14" t="inlineStr">
        <is>
          <t>Gercek Hava Hizi (m/s)</t>
        </is>
      </c>
      <c r="E10" s="31">
        <f>E5/E9</f>
        <v/>
      </c>
    </row>
    <row r="11">
      <c r="A11" s="14" t="inlineStr">
        <is>
          <t>Hedef Tasima Hizi (m/s)</t>
        </is>
      </c>
      <c r="B11" s="32" t="n">
        <v>22</v>
      </c>
      <c r="D11" s="14" t="inlineStr">
        <is>
          <t>Hava Yogunlugu (kg/m3)</t>
        </is>
      </c>
      <c r="E11" s="33">
        <f>1.2</f>
        <v/>
      </c>
    </row>
    <row r="12">
      <c r="A12" s="14" t="inlineStr">
        <is>
          <t>Guvenlik Payi (%)</t>
        </is>
      </c>
      <c r="B12" s="18" t="n">
        <v>15</v>
      </c>
      <c r="D12" s="14" t="inlineStr">
        <is>
          <t>Surtunme Katsayisi - lambda</t>
        </is>
      </c>
      <c r="E12" s="28">
        <f>_xlfn.XLOOKUP(B10,$A$16:$A$19,$B$16:$B$19)</f>
        <v/>
      </c>
    </row>
    <row r="13">
      <c r="D13" s="14" t="inlineStr">
        <is>
          <t>Toplam Hat Uzunlugu (m)</t>
        </is>
      </c>
      <c r="E13" s="30">
        <f>B4+B5</f>
        <v/>
      </c>
    </row>
    <row r="14">
      <c r="A14" s="23" t="inlineStr">
        <is>
          <t>MALZEME SURTUNME KATSAYISI (lambda)</t>
        </is>
      </c>
      <c r="B14" s="24" t="n"/>
      <c r="D14" s="14" t="inlineStr">
        <is>
          <t>Statik (Surtunme) Basinc Kaybi (Pa)</t>
        </is>
      </c>
      <c r="E14" s="19">
        <f>E12*(E13/(E8/1000))*(E11*E10^2/2)</f>
        <v/>
      </c>
    </row>
    <row r="15" ht="32" customHeight="1">
      <c r="A15" s="4" t="inlineStr">
        <is>
          <t>Boru Malzemesi</t>
        </is>
      </c>
      <c r="B15" s="4" t="inlineStr">
        <is>
          <t>Lambda</t>
        </is>
      </c>
      <c r="D15" s="14" t="inlineStr">
        <is>
          <t>Yerel Direnc Katsayilari Toplami (sigma-zeta)</t>
        </is>
      </c>
      <c r="E15" s="33">
        <f>B6*0.15+B7*0.3+B8*1+B9*0.2</f>
        <v/>
      </c>
    </row>
    <row r="16">
      <c r="A16" s="34" t="inlineStr">
        <is>
          <t>Galvanizli Sac</t>
        </is>
      </c>
      <c r="B16" s="35" t="n">
        <v>0.02</v>
      </c>
      <c r="D16" s="14" t="inlineStr">
        <is>
          <t>Dinamik (Yerel) Basinc Kaybi (Pa)</t>
        </is>
      </c>
      <c r="E16" s="19">
        <f>E15*(E11*E10^2/2)</f>
        <v/>
      </c>
    </row>
    <row r="17">
      <c r="A17" s="34" t="inlineStr">
        <is>
          <t>Paslanmaz Celik</t>
        </is>
      </c>
      <c r="B17" s="35" t="n">
        <v>0.018</v>
      </c>
      <c r="D17" s="14" t="inlineStr">
        <is>
          <t>Ara Toplam Basinc Kaybi (Pa)</t>
        </is>
      </c>
      <c r="E17" s="19">
        <f>E14+E16</f>
        <v/>
      </c>
    </row>
    <row r="18">
      <c r="A18" s="34" t="inlineStr">
        <is>
          <t>Spiral Sac</t>
        </is>
      </c>
      <c r="B18" s="35" t="n">
        <v>0.022</v>
      </c>
      <c r="D18" s="14" t="inlineStr">
        <is>
          <t>Guvenlik Payi Eklenmis Toplam Basinc Kaybi (Pa)</t>
        </is>
      </c>
      <c r="E18" s="22">
        <f>E17*(1+B12/100)</f>
        <v/>
      </c>
    </row>
    <row r="19">
      <c r="A19" s="34" t="inlineStr">
        <is>
          <t>PVC</t>
        </is>
      </c>
      <c r="B19" s="35" t="n">
        <v>0.025</v>
      </c>
      <c r="D19" s="36" t="inlineStr">
        <is>
          <t>TOPLAM SISTEM BASINC KAYBI (Pa)</t>
        </is>
      </c>
      <c r="E19" s="37">
        <f>E18</f>
        <v/>
      </c>
    </row>
    <row r="20" ht="28" customHeight="1">
      <c r="D20" s="14" t="inlineStr">
        <is>
          <t>Hiz Kontrolu / Uyari</t>
        </is>
      </c>
      <c r="E20" s="38">
        <f>IF(E10&lt;18,"UYARI: Hiz dusuk - boru icinde toz cokebilir",IF(E10&gt;30,"UYARI: Hiz yuksek - asinma/enerji kaybi riski","Hiz uygun (18-28 m/s)"))</f>
        <v/>
      </c>
    </row>
    <row r="22">
      <c r="A22" s="23" t="inlineStr">
        <is>
          <t>YEREL DIRENC (ZETA) KATSAYILARI</t>
        </is>
      </c>
      <c r="B22" s="24" t="n"/>
    </row>
    <row r="23" ht="32" customHeight="1">
      <c r="A23" s="4" t="inlineStr">
        <is>
          <t>Eleman</t>
        </is>
      </c>
      <c r="B23" s="4" t="inlineStr">
        <is>
          <t>Zeta</t>
        </is>
      </c>
    </row>
    <row r="24">
      <c r="A24" s="34" t="inlineStr">
        <is>
          <t>45 derece Dirsek</t>
        </is>
      </c>
      <c r="B24" s="39" t="n">
        <v>0.15</v>
      </c>
    </row>
    <row r="25">
      <c r="A25" s="34" t="inlineStr">
        <is>
          <t>90 derece Dirsek</t>
        </is>
      </c>
      <c r="B25" s="39" t="n">
        <v>0.3</v>
      </c>
    </row>
    <row r="26">
      <c r="A26" s="34" t="inlineStr">
        <is>
          <t>T Baglanti</t>
        </is>
      </c>
      <c r="B26" s="39" t="n">
        <v>1</v>
      </c>
    </row>
    <row r="27">
      <c r="A27" s="34" t="inlineStr">
        <is>
          <t>Reduksiyon</t>
        </is>
      </c>
      <c r="B27" s="39" t="n">
        <v>0.2</v>
      </c>
    </row>
  </sheetData>
  <mergeCells count="5">
    <mergeCell ref="A4:B4"/>
    <mergeCell ref="A14:B14"/>
    <mergeCell ref="A1:E1"/>
    <mergeCell ref="A3:B3"/>
    <mergeCell ref="A22:B22"/>
  </mergeCells>
  <conditionalFormatting sqref="E10">
    <cfRule type="cellIs" priority="1" operator="between" dxfId="1">
      <formula>18</formula>
      <formula>28</formula>
    </cfRule>
    <cfRule type="cellIs" priority="2" operator="lessThan" dxfId="0">
      <formula>18</formula>
    </cfRule>
    <cfRule type="cellIs" priority="3" operator="greaterThan" dxfId="0">
      <formula>30</formula>
    </cfRule>
    <cfRule type="cellIs" priority="4" operator="between" dxfId="2">
      <formula>28</formula>
      <formula>30</formula>
    </cfRule>
  </conditionalFormatting>
  <conditionalFormatting sqref="E20">
    <cfRule type="expression" priority="5" dxfId="0">
      <formula>ISNUMBER(SEARCH("UYARI",E20))</formula>
    </cfRule>
    <cfRule type="expression" priority="6" dxfId="1">
      <formula>E20="Hiz uygun (18-28 m/s)"</formula>
    </cfRule>
  </conditionalFormatting>
  <dataValidations count="2">
    <dataValidation sqref="B10" showDropDown="0" showInputMessage="0" showErrorMessage="1" allowBlank="0" errorTitle="Gecersiz Malzeme" error="Listeden boru malzemesi seciniz." type="list">
      <formula1>"Galvanizli Sac,Paslanmaz Celik,Spiral Sac,PVC"</formula1>
    </dataValidation>
    <dataValidation sqref="B11" showDropDown="0" showInputMessage="0" showErrorMessage="1" allowBlank="1" errorTitle="Hiz Araligi Disi" error="Hedef hiz 10-35 m/s araliginda olmalidir." type="decimal" operator="between">
      <formula1>10</formula1>
      <formula2>35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53"/>
  <sheetViews>
    <sheetView showGridLines="0" zoomScale="100" workbookViewId="0">
      <selection activeCell="A1" sqref="A1"/>
    </sheetView>
  </sheetViews>
  <sheetFormatPr baseColWidth="8" defaultRowHeight="15" outlineLevelCol="0"/>
  <cols>
    <col width="2.2" customWidth="1" min="2" max="2"/>
    <col width="2.2" customWidth="1" min="3" max="3"/>
    <col width="2.2" customWidth="1" min="4" max="4"/>
    <col width="2.2" customWidth="1" min="5" max="5"/>
    <col width="2.2" customWidth="1" min="6" max="6"/>
    <col width="2.2" customWidth="1" min="7" max="7"/>
    <col width="2.2" customWidth="1" min="8" max="8"/>
    <col width="2.2" customWidth="1" min="9" max="9"/>
    <col width="2.2" customWidth="1" min="10" max="10"/>
    <col width="2.2" customWidth="1" min="11" max="11"/>
    <col width="2.2" customWidth="1" min="12" max="12"/>
    <col width="2.2" customWidth="1" min="13" max="13"/>
    <col width="2.2" customWidth="1" min="14" max="14"/>
    <col width="2.2" customWidth="1" min="15" max="15"/>
    <col width="2.2" customWidth="1" min="16" max="16"/>
    <col width="2.2" customWidth="1" min="17" max="17"/>
    <col width="2.2" customWidth="1" min="18" max="18"/>
    <col width="2.2" customWidth="1" min="19" max="19"/>
    <col width="2.2" customWidth="1" min="20" max="20"/>
    <col width="2.2" customWidth="1" min="21" max="21"/>
    <col width="2.2" customWidth="1" min="22" max="22"/>
    <col width="2.2" customWidth="1" min="23" max="23"/>
    <col width="2.2" customWidth="1" min="24" max="24"/>
    <col width="2.2" customWidth="1" min="25" max="25"/>
    <col width="2.2" customWidth="1" min="26" max="26"/>
    <col width="2.2" customWidth="1" min="27" max="27"/>
    <col width="2.2" customWidth="1" min="28" max="28"/>
    <col width="2.2" customWidth="1" min="29" max="29"/>
    <col width="2.2" customWidth="1" min="30" max="30"/>
    <col width="2.2" customWidth="1" min="31" max="31"/>
    <col width="2.2" customWidth="1" min="32" max="32"/>
    <col width="2.2" customWidth="1" min="33" max="33"/>
    <col width="2.2" customWidth="1" min="34" max="34"/>
    <col width="2.2" customWidth="1" min="35" max="35"/>
    <col width="2.2" customWidth="1" min="36" max="36"/>
    <col width="2.2" customWidth="1" min="37" max="37"/>
    <col width="2.2" customWidth="1" min="38" max="38"/>
    <col width="2.2" customWidth="1" min="39" max="39"/>
    <col width="2.2" customWidth="1" min="40" max="40"/>
    <col width="2.2" customWidth="1" min="41" max="41"/>
    <col width="2.2" customWidth="1" min="42" max="42"/>
    <col width="2.2" customWidth="1" min="43" max="43"/>
    <col width="2.2" customWidth="1" min="44" max="44"/>
    <col width="2.2" customWidth="1" min="45" max="45"/>
    <col width="2.2" customWidth="1" min="46" max="46"/>
    <col width="2.2" customWidth="1" min="47" max="47"/>
    <col width="2.2" customWidth="1" min="48" max="48"/>
    <col width="2.2" customWidth="1" min="49" max="49"/>
    <col width="2.2" customWidth="1" min="50" max="50"/>
    <col width="2.2" customWidth="1" min="51" max="51"/>
  </cols>
  <sheetData>
    <row r="1" ht="26" customHeight="1">
      <c r="A1" s="1" t="inlineStr">
        <is>
          <t>FABRIKA YERLESIM PLANI VE BORU GUZERGAHI (1 kare = 0.5 m)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42" customHeight="1">
      <c r="A2" s="40" t="inlineStr">
        <is>
          <t>Bu sayfa olcekli bir cizim/izgara alanidir. Hazir kolon, makine, filtre, fan ikonlari ve ornek bir boru guzergahi yerlestirilmistir. Ilave serbest cizim icin: Ekle &gt; Sekiller &gt; Serbest Form / Cizgi / Baglayici kullanabilirsiniz. Sekli cizerken ALT tusunu basili tutarsaniz sekil otomatik olarak hucre kenarlarina (izgaraya) hizalanir. Kolon ve makine ikonlarini kopyalayip plana istediginiz yere tasiyabilirsiniz.</t>
        </is>
      </c>
    </row>
    <row r="3">
      <c r="A3" s="14" t="inlineStr">
        <is>
          <t>Olcek:</t>
        </is>
      </c>
      <c r="B3" t="inlineStr">
        <is>
          <t>1 kare = 0.5 m  |  Plan boyutu (varsayilan): 25 m x 18 m</t>
        </is>
      </c>
    </row>
    <row r="7" ht="15" customHeight="1">
      <c r="B7" s="41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  <c r="AE7" s="42" t="n"/>
      <c r="AF7" s="42" t="n"/>
      <c r="AG7" s="42" t="n"/>
      <c r="AH7" s="42" t="n"/>
      <c r="AI7" s="42" t="n"/>
      <c r="AJ7" s="42" t="n"/>
      <c r="AK7" s="42" t="n"/>
      <c r="AL7" s="42" t="n"/>
      <c r="AM7" s="42" t="n"/>
      <c r="AN7" s="42" t="n"/>
      <c r="AO7" s="42" t="n"/>
      <c r="AP7" s="42" t="n"/>
      <c r="AQ7" s="42" t="n"/>
      <c r="AR7" s="42" t="n"/>
      <c r="AS7" s="42" t="n"/>
      <c r="AT7" s="42" t="n"/>
      <c r="AU7" s="42" t="n"/>
      <c r="AV7" s="42" t="n"/>
      <c r="AW7" s="42" t="n"/>
      <c r="AX7" s="42" t="n"/>
      <c r="AY7" s="43" t="n"/>
    </row>
    <row r="8" ht="15" customHeight="1">
      <c r="B8" s="44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  <c r="P8" s="45" t="n"/>
      <c r="Q8" s="45" t="n"/>
      <c r="R8" s="45" t="n"/>
      <c r="S8" s="45" t="n"/>
      <c r="T8" s="45" t="n"/>
      <c r="U8" s="45" t="n"/>
      <c r="V8" s="45" t="n"/>
      <c r="W8" s="45" t="n"/>
      <c r="X8" s="45" t="n"/>
      <c r="Y8" s="45" t="n"/>
      <c r="Z8" s="45" t="n"/>
      <c r="AA8" s="45" t="n"/>
      <c r="AB8" s="45" t="n"/>
      <c r="AC8" s="45" t="n"/>
      <c r="AD8" s="45" t="n"/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45" t="n"/>
      <c r="AT8" s="45" t="n"/>
      <c r="AU8" s="45" t="n"/>
      <c r="AV8" s="45" t="n"/>
      <c r="AW8" s="45" t="n"/>
      <c r="AX8" s="45" t="n"/>
      <c r="AY8" s="46" t="n"/>
    </row>
    <row r="9" ht="15" customHeight="1">
      <c r="B9" s="44" t="n"/>
      <c r="C9" s="45" t="n"/>
      <c r="D9" s="45" t="n"/>
      <c r="E9" s="45" t="n"/>
      <c r="F9" s="45" t="n"/>
      <c r="G9" s="45" t="n"/>
      <c r="H9" s="45" t="n"/>
      <c r="I9" s="45" t="n"/>
      <c r="J9" s="45" t="n"/>
      <c r="K9" s="45" t="n"/>
      <c r="L9" s="45" t="n"/>
      <c r="M9" s="45" t="n"/>
      <c r="N9" s="45" t="n"/>
      <c r="O9" s="45" t="n"/>
      <c r="P9" s="45" t="n"/>
      <c r="Q9" s="45" t="n"/>
      <c r="R9" s="45" t="n"/>
      <c r="S9" s="45" t="n"/>
      <c r="T9" s="45" t="n"/>
      <c r="U9" s="45" t="n"/>
      <c r="V9" s="45" t="n"/>
      <c r="W9" s="45" t="n"/>
      <c r="X9" s="45" t="n"/>
      <c r="Y9" s="45" t="n"/>
      <c r="Z9" s="45" t="n"/>
      <c r="AA9" s="45" t="n"/>
      <c r="AB9" s="45" t="n"/>
      <c r="AC9" s="45" t="n"/>
      <c r="AD9" s="45" t="n"/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45" t="n"/>
      <c r="AT9" s="45" t="n"/>
      <c r="AU9" s="45" t="n"/>
      <c r="AV9" s="45" t="n"/>
      <c r="AW9" s="45" t="n"/>
      <c r="AX9" s="45" t="n"/>
      <c r="AY9" s="46" t="n"/>
    </row>
    <row r="10" ht="15" customHeight="1">
      <c r="B10" s="44" t="n"/>
      <c r="C10" s="45" t="n"/>
      <c r="D10" s="45" t="n"/>
      <c r="E10" s="45" t="n"/>
      <c r="F10" s="45" t="n"/>
      <c r="G10" s="45" t="n"/>
      <c r="H10" s="47" t="n"/>
      <c r="I10" s="47" t="n"/>
      <c r="J10" s="47" t="n"/>
      <c r="K10" s="47" t="n"/>
      <c r="L10" s="48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8" t="n"/>
      <c r="Y10" s="47" t="n"/>
      <c r="Z10" s="47" t="n"/>
      <c r="AA10" s="47" t="n"/>
      <c r="AB10" s="47" t="n"/>
      <c r="AC10" s="47" t="n"/>
      <c r="AD10" s="47" t="n"/>
      <c r="AE10" s="47" t="n"/>
      <c r="AF10" s="47" t="n"/>
      <c r="AG10" s="47" t="n"/>
      <c r="AH10" s="47" t="n"/>
      <c r="AI10" s="47" t="n"/>
      <c r="AJ10" s="48" t="n"/>
      <c r="AK10" s="47" t="n"/>
      <c r="AL10" s="47" t="n"/>
      <c r="AM10" s="47" t="n"/>
      <c r="AN10" s="47" t="n"/>
      <c r="AO10" s="47" t="n"/>
      <c r="AP10" s="47" t="n"/>
      <c r="AQ10" s="47" t="n"/>
      <c r="AR10" s="47" t="n"/>
      <c r="AS10" s="47" t="n"/>
      <c r="AT10" s="45" t="n"/>
      <c r="AU10" s="45" t="n"/>
      <c r="AV10" s="45" t="n"/>
      <c r="AW10" s="45" t="n"/>
      <c r="AX10" s="45" t="n"/>
      <c r="AY10" s="46" t="n"/>
    </row>
    <row r="11" ht="15" customHeight="1">
      <c r="B11" s="44" t="n"/>
      <c r="C11" s="49">
        <f>'Filtre Secimi'!B10</f>
        <v/>
      </c>
      <c r="D11" s="45" t="n"/>
      <c r="E11" s="45" t="n"/>
      <c r="F11" s="45" t="n"/>
      <c r="G11" s="45" t="n"/>
      <c r="H11" s="45" t="n"/>
      <c r="I11" s="45" t="n"/>
      <c r="J11" s="45" t="n"/>
      <c r="K11" s="45" t="n"/>
      <c r="L11" s="50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45" t="n"/>
      <c r="V11" s="45" t="n"/>
      <c r="W11" s="45" t="n"/>
      <c r="X11" s="50" t="n"/>
      <c r="Y11" s="45" t="n"/>
      <c r="Z11" s="45" t="n"/>
      <c r="AA11" s="45" t="n"/>
      <c r="AB11" s="45" t="n"/>
      <c r="AC11" s="45" t="n"/>
      <c r="AD11" s="45" t="n"/>
      <c r="AE11" s="45" t="n"/>
      <c r="AF11" s="45" t="n"/>
      <c r="AG11" s="45" t="n"/>
      <c r="AH11" s="45" t="n"/>
      <c r="AI11" s="45" t="n"/>
      <c r="AJ11" s="50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45" t="n"/>
      <c r="AT11" s="45" t="n"/>
      <c r="AU11" s="49">
        <f>'Fan Secimi'!B14</f>
        <v/>
      </c>
      <c r="AV11" s="51" t="n"/>
      <c r="AW11" s="51" t="n"/>
      <c r="AX11" s="52" t="n"/>
      <c r="AY11" s="46" t="n"/>
    </row>
    <row r="12" ht="15" customHeight="1">
      <c r="B12" s="44" t="n"/>
      <c r="C12" s="45" t="n"/>
      <c r="D12" s="45" t="n"/>
      <c r="E12" s="45" t="n"/>
      <c r="F12" s="45" t="n"/>
      <c r="G12" s="45" t="n"/>
      <c r="H12" s="45" t="n"/>
      <c r="I12" s="45" t="n"/>
      <c r="J12" s="45" t="n"/>
      <c r="K12" s="45" t="n"/>
      <c r="L12" s="50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45" t="n"/>
      <c r="W12" s="45" t="n"/>
      <c r="X12" s="50" t="n"/>
      <c r="Y12" s="45" t="n"/>
      <c r="Z12" s="45" t="n"/>
      <c r="AA12" s="45" t="n"/>
      <c r="AB12" s="45" t="n"/>
      <c r="AC12" s="45" t="n"/>
      <c r="AD12" s="45" t="n"/>
      <c r="AE12" s="45" t="n"/>
      <c r="AF12" s="45" t="n"/>
      <c r="AG12" s="45" t="n"/>
      <c r="AH12" s="45" t="n"/>
      <c r="AI12" s="45" t="n"/>
      <c r="AJ12" s="50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45" t="n"/>
      <c r="AT12" s="45" t="n"/>
      <c r="AU12" s="45" t="n"/>
      <c r="AV12" s="45" t="n"/>
      <c r="AW12" s="45" t="n"/>
      <c r="AX12" s="45" t="n"/>
      <c r="AY12" s="46" t="n"/>
    </row>
    <row r="13" ht="15" customHeight="1">
      <c r="B13" s="44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50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45" t="n"/>
      <c r="W13" s="45" t="n"/>
      <c r="X13" s="50" t="n"/>
      <c r="Y13" s="45" t="n"/>
      <c r="Z13" s="45" t="n"/>
      <c r="AA13" s="45" t="n"/>
      <c r="AB13" s="45" t="n"/>
      <c r="AC13" s="45" t="n"/>
      <c r="AD13" s="45" t="n"/>
      <c r="AE13" s="45" t="n"/>
      <c r="AF13" s="45" t="n"/>
      <c r="AG13" s="45" t="n"/>
      <c r="AH13" s="45" t="n"/>
      <c r="AI13" s="45" t="n"/>
      <c r="AJ13" s="50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45" t="n"/>
      <c r="AT13" s="45" t="n"/>
      <c r="AU13" s="45" t="n"/>
      <c r="AV13" s="45" t="n"/>
      <c r="AW13" s="45" t="n"/>
      <c r="AX13" s="45" t="n"/>
      <c r="AY13" s="46" t="n"/>
    </row>
    <row r="14" ht="15" customHeight="1">
      <c r="B14" s="44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50" t="n"/>
      <c r="M14" s="45" t="n"/>
      <c r="N14" s="45" t="n"/>
      <c r="O14" s="45" t="n"/>
      <c r="P14" s="45" t="n"/>
      <c r="Q14" s="45" t="n"/>
      <c r="R14" s="45" t="n"/>
      <c r="S14" s="45" t="n"/>
      <c r="T14" s="45" t="n"/>
      <c r="U14" s="45" t="n"/>
      <c r="V14" s="45" t="n"/>
      <c r="W14" s="45" t="n"/>
      <c r="X14" s="50" t="n"/>
      <c r="Y14" s="45" t="n"/>
      <c r="Z14" s="45" t="n"/>
      <c r="AA14" s="45" t="n"/>
      <c r="AB14" s="45" t="n"/>
      <c r="AC14" s="45" t="n"/>
      <c r="AD14" s="45" t="n"/>
      <c r="AE14" s="45" t="n"/>
      <c r="AF14" s="45" t="n"/>
      <c r="AG14" s="45" t="n"/>
      <c r="AH14" s="45" t="n"/>
      <c r="AI14" s="45" t="n"/>
      <c r="AJ14" s="50" t="n"/>
      <c r="AK14" s="45" t="n"/>
      <c r="AL14" s="45" t="n"/>
      <c r="AM14" s="45" t="n"/>
      <c r="AN14" s="45" t="n"/>
      <c r="AO14" s="45" t="n"/>
      <c r="AP14" s="45" t="n"/>
      <c r="AQ14" s="45" t="n"/>
      <c r="AR14" s="45" t="n"/>
      <c r="AS14" s="45" t="n"/>
      <c r="AT14" s="45" t="n"/>
      <c r="AU14" s="45" t="n"/>
      <c r="AV14" s="45" t="n"/>
      <c r="AW14" s="45" t="n"/>
      <c r="AX14" s="45" t="n"/>
      <c r="AY14" s="46" t="n"/>
    </row>
    <row r="15" ht="15" customHeight="1">
      <c r="B15" s="44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50" t="n"/>
      <c r="M15" s="45" t="n"/>
      <c r="N15" s="45" t="n"/>
      <c r="O15" s="45" t="n"/>
      <c r="P15" s="45" t="n"/>
      <c r="Q15" s="45" t="n"/>
      <c r="R15" s="45" t="n"/>
      <c r="S15" s="45" t="n"/>
      <c r="T15" s="45" t="n"/>
      <c r="U15" s="45" t="n"/>
      <c r="V15" s="45" t="n"/>
      <c r="W15" s="45" t="n"/>
      <c r="X15" s="50" t="n"/>
      <c r="Y15" s="45" t="n"/>
      <c r="Z15" s="45" t="n"/>
      <c r="AA15" s="45" t="n"/>
      <c r="AB15" s="45" t="n"/>
      <c r="AC15" s="45" t="n"/>
      <c r="AD15" s="45" t="n"/>
      <c r="AE15" s="45" t="n"/>
      <c r="AF15" s="45" t="n"/>
      <c r="AG15" s="45" t="n"/>
      <c r="AH15" s="45" t="n"/>
      <c r="AI15" s="45" t="n"/>
      <c r="AJ15" s="50" t="n"/>
      <c r="AK15" s="45" t="n"/>
      <c r="AL15" s="45" t="n"/>
      <c r="AM15" s="45" t="n"/>
      <c r="AN15" s="45" t="n"/>
      <c r="AO15" s="45" t="n"/>
      <c r="AP15" s="45" t="n"/>
      <c r="AQ15" s="45" t="n"/>
      <c r="AR15" s="45" t="n"/>
      <c r="AS15" s="45" t="n"/>
      <c r="AT15" s="45" t="n"/>
      <c r="AU15" s="45" t="n"/>
      <c r="AV15" s="45" t="n"/>
      <c r="AW15" s="45" t="n"/>
      <c r="AX15" s="45" t="n"/>
      <c r="AY15" s="46" t="n"/>
    </row>
    <row r="16" ht="15" customHeight="1">
      <c r="B16" s="44" t="n"/>
      <c r="C16" s="45" t="n"/>
      <c r="D16" s="45" t="n"/>
      <c r="E16" s="45" t="n"/>
      <c r="F16" s="45" t="n"/>
      <c r="G16" s="45" t="n"/>
      <c r="H16" s="45" t="n"/>
      <c r="I16" s="45" t="n"/>
      <c r="J16" s="45" t="n"/>
      <c r="K16" s="45" t="n"/>
      <c r="L16" s="50" t="n"/>
      <c r="M16" s="45" t="n"/>
      <c r="N16" s="45" t="n"/>
      <c r="O16" s="45" t="n"/>
      <c r="P16" s="45" t="n"/>
      <c r="Q16" s="45" t="n"/>
      <c r="R16" s="45" t="n"/>
      <c r="S16" s="45" t="n"/>
      <c r="T16" s="45" t="n"/>
      <c r="U16" s="45" t="n"/>
      <c r="V16" s="45" t="n"/>
      <c r="W16" s="45" t="n"/>
      <c r="X16" s="50" t="n"/>
      <c r="Y16" s="45" t="n"/>
      <c r="Z16" s="45" t="n"/>
      <c r="AA16" s="45" t="n"/>
      <c r="AB16" s="45" t="n"/>
      <c r="AC16" s="45" t="n"/>
      <c r="AD16" s="45" t="n"/>
      <c r="AE16" s="45" t="n"/>
      <c r="AF16" s="45" t="n"/>
      <c r="AG16" s="45" t="n"/>
      <c r="AH16" s="45" t="n"/>
      <c r="AI16" s="45" t="n"/>
      <c r="AJ16" s="50" t="n"/>
      <c r="AK16" s="45" t="n"/>
      <c r="AL16" s="45" t="n"/>
      <c r="AM16" s="45" t="n"/>
      <c r="AN16" s="45" t="n"/>
      <c r="AO16" s="45" t="n"/>
      <c r="AP16" s="45" t="n"/>
      <c r="AQ16" s="45" t="n"/>
      <c r="AR16" s="45" t="n"/>
      <c r="AS16" s="45" t="n"/>
      <c r="AT16" s="45" t="n"/>
      <c r="AU16" s="45" t="n"/>
      <c r="AV16" s="45" t="n"/>
      <c r="AW16" s="45" t="n"/>
      <c r="AX16" s="45" t="n"/>
      <c r="AY16" s="46" t="n"/>
    </row>
    <row r="17" ht="15" customHeight="1">
      <c r="B17" s="44" t="n"/>
      <c r="C17" s="45" t="n"/>
      <c r="D17" s="45" t="n"/>
      <c r="E17" s="45" t="n"/>
      <c r="F17" s="45" t="n"/>
      <c r="G17" s="45" t="n"/>
      <c r="H17" s="45" t="n"/>
      <c r="I17" s="45" t="n"/>
      <c r="J17" s="45" t="n"/>
      <c r="K17" s="45" t="n"/>
      <c r="L17" s="50" t="n"/>
      <c r="M17" s="45" t="n"/>
      <c r="N17" s="45" t="n"/>
      <c r="O17" s="45" t="n"/>
      <c r="P17" s="45" t="n"/>
      <c r="Q17" s="45" t="n"/>
      <c r="R17" s="45" t="n"/>
      <c r="S17" s="45" t="n"/>
      <c r="T17" s="45" t="n"/>
      <c r="U17" s="45" t="n"/>
      <c r="V17" s="45" t="n"/>
      <c r="W17" s="45" t="n"/>
      <c r="X17" s="50" t="n"/>
      <c r="Y17" s="45" t="n"/>
      <c r="Z17" s="45" t="n"/>
      <c r="AA17" s="45" t="n"/>
      <c r="AB17" s="45" t="n"/>
      <c r="AC17" s="45" t="n"/>
      <c r="AD17" s="45" t="n"/>
      <c r="AE17" s="45" t="n"/>
      <c r="AF17" s="45" t="n"/>
      <c r="AG17" s="45" t="n"/>
      <c r="AH17" s="45" t="n"/>
      <c r="AI17" s="45" t="n"/>
      <c r="AJ17" s="50" t="n"/>
      <c r="AK17" s="45" t="n"/>
      <c r="AL17" s="45" t="n"/>
      <c r="AM17" s="45" t="n"/>
      <c r="AN17" s="45" t="n"/>
      <c r="AO17" s="45" t="n"/>
      <c r="AP17" s="45" t="n"/>
      <c r="AQ17" s="45" t="n"/>
      <c r="AR17" s="45" t="n"/>
      <c r="AS17" s="45" t="n"/>
      <c r="AT17" s="45" t="n"/>
      <c r="AU17" s="45" t="n"/>
      <c r="AV17" s="45" t="n"/>
      <c r="AW17" s="45" t="n"/>
      <c r="AX17" s="45" t="n"/>
      <c r="AY17" s="46" t="n"/>
    </row>
    <row r="18" ht="15" customHeight="1">
      <c r="B18" s="44" t="n"/>
      <c r="C18" s="45" t="n"/>
      <c r="D18" s="45" t="n"/>
      <c r="E18" s="45" t="n"/>
      <c r="F18" s="45" t="n"/>
      <c r="G18" s="45" t="n"/>
      <c r="H18" s="45" t="n"/>
      <c r="I18" s="45" t="n"/>
      <c r="J18" s="45" t="n"/>
      <c r="K18" s="45" t="n"/>
      <c r="L18" s="50" t="n"/>
      <c r="M18" s="45" t="n"/>
      <c r="N18" s="45" t="n"/>
      <c r="O18" s="45" t="n"/>
      <c r="P18" s="45" t="n"/>
      <c r="Q18" s="45" t="n"/>
      <c r="R18" s="45" t="n"/>
      <c r="S18" s="45" t="n"/>
      <c r="T18" s="45" t="n"/>
      <c r="U18" s="45" t="n"/>
      <c r="V18" s="45" t="n"/>
      <c r="W18" s="45" t="n"/>
      <c r="X18" s="50" t="n"/>
      <c r="Y18" s="45" t="n"/>
      <c r="Z18" s="45" t="n"/>
      <c r="AA18" s="45" t="n"/>
      <c r="AB18" s="45" t="n"/>
      <c r="AC18" s="45" t="n"/>
      <c r="AD18" s="45" t="n"/>
      <c r="AE18" s="45" t="n"/>
      <c r="AF18" s="45" t="n"/>
      <c r="AG18" s="45" t="n"/>
      <c r="AH18" s="45" t="n"/>
      <c r="AI18" s="45" t="n"/>
      <c r="AJ18" s="50" t="n"/>
      <c r="AK18" s="45" t="n"/>
      <c r="AL18" s="45" t="n"/>
      <c r="AM18" s="45" t="n"/>
      <c r="AN18" s="45" t="n"/>
      <c r="AO18" s="45" t="n"/>
      <c r="AP18" s="45" t="n"/>
      <c r="AQ18" s="45" t="n"/>
      <c r="AR18" s="45" t="n"/>
      <c r="AS18" s="45" t="n"/>
      <c r="AT18" s="45" t="n"/>
      <c r="AU18" s="45" t="n"/>
      <c r="AV18" s="45" t="n"/>
      <c r="AW18" s="45" t="n"/>
      <c r="AX18" s="45" t="n"/>
      <c r="AY18" s="46" t="n"/>
    </row>
    <row r="19" ht="15" customHeight="1">
      <c r="B19" s="44" t="n"/>
      <c r="C19" s="45" t="n"/>
      <c r="D19" s="45" t="n"/>
      <c r="E19" s="45" t="n"/>
      <c r="F19" s="45" t="n"/>
      <c r="G19" s="45" t="n"/>
      <c r="H19" s="45" t="n"/>
      <c r="I19" s="45" t="n"/>
      <c r="J19" s="45" t="n"/>
      <c r="K19" s="45" t="n"/>
      <c r="L19" s="50" t="n"/>
      <c r="M19" s="45" t="n"/>
      <c r="N19" s="45" t="n"/>
      <c r="O19" s="45" t="n"/>
      <c r="P19" s="45" t="n"/>
      <c r="Q19" s="45" t="n"/>
      <c r="R19" s="45" t="n"/>
      <c r="S19" s="45" t="n"/>
      <c r="T19" s="45" t="n"/>
      <c r="U19" s="45" t="n"/>
      <c r="V19" s="45" t="n"/>
      <c r="W19" s="45" t="n"/>
      <c r="X19" s="50" t="n"/>
      <c r="Y19" s="45" t="n"/>
      <c r="Z19" s="45" t="n"/>
      <c r="AA19" s="45" t="n"/>
      <c r="AB19" s="45" t="n"/>
      <c r="AC19" s="45" t="n"/>
      <c r="AD19" s="45" t="n"/>
      <c r="AE19" s="45" t="n"/>
      <c r="AF19" s="45" t="n"/>
      <c r="AG19" s="45" t="n"/>
      <c r="AH19" s="45" t="n"/>
      <c r="AI19" s="45" t="n"/>
      <c r="AJ19" s="50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45" t="n"/>
      <c r="AT19" s="45" t="n"/>
      <c r="AU19" s="45" t="n"/>
      <c r="AV19" s="45" t="n"/>
      <c r="AW19" s="45" t="n"/>
      <c r="AX19" s="45" t="n"/>
      <c r="AY19" s="46" t="n"/>
    </row>
    <row r="20" ht="15" customHeight="1">
      <c r="B20" s="44" t="n"/>
      <c r="C20" s="45" t="n"/>
      <c r="D20" s="45" t="n"/>
      <c r="E20" s="45" t="n"/>
      <c r="F20" s="45" t="n"/>
      <c r="G20" s="45" t="n"/>
      <c r="H20" s="45" t="n"/>
      <c r="I20" s="45" t="n"/>
      <c r="J20" s="45" t="n"/>
      <c r="K20" s="45" t="n"/>
      <c r="L20" s="50" t="n"/>
      <c r="M20" s="45" t="n"/>
      <c r="N20" s="45" t="n"/>
      <c r="O20" s="45" t="n"/>
      <c r="P20" s="45" t="n"/>
      <c r="Q20" s="45" t="n"/>
      <c r="R20" s="45" t="n"/>
      <c r="S20" s="45" t="n"/>
      <c r="T20" s="45" t="n"/>
      <c r="U20" s="45" t="n"/>
      <c r="V20" s="45" t="n"/>
      <c r="W20" s="45" t="n"/>
      <c r="X20" s="50" t="n"/>
      <c r="Y20" s="45" t="n"/>
      <c r="Z20" s="45" t="n"/>
      <c r="AA20" s="45" t="n"/>
      <c r="AB20" s="45" t="n"/>
      <c r="AC20" s="45" t="n"/>
      <c r="AD20" s="45" t="n"/>
      <c r="AE20" s="45" t="n"/>
      <c r="AF20" s="45" t="n"/>
      <c r="AG20" s="45" t="n"/>
      <c r="AH20" s="45" t="n"/>
      <c r="AI20" s="45" t="n"/>
      <c r="AJ20" s="50" t="n"/>
      <c r="AK20" s="45" t="n"/>
      <c r="AL20" s="45" t="n"/>
      <c r="AM20" s="45" t="n"/>
      <c r="AN20" s="45" t="n"/>
      <c r="AO20" s="45" t="n"/>
      <c r="AP20" s="45" t="n"/>
      <c r="AQ20" s="45" t="n"/>
      <c r="AR20" s="45" t="n"/>
      <c r="AS20" s="45" t="n"/>
      <c r="AT20" s="45" t="n"/>
      <c r="AU20" s="45" t="n"/>
      <c r="AV20" s="45" t="n"/>
      <c r="AW20" s="45" t="n"/>
      <c r="AX20" s="45" t="n"/>
      <c r="AY20" s="46" t="n"/>
    </row>
    <row r="21" ht="15" customHeight="1">
      <c r="B21" s="44" t="n"/>
      <c r="C21" s="45" t="n"/>
      <c r="D21" s="45" t="n"/>
      <c r="E21" s="45" t="n"/>
      <c r="F21" s="45" t="n"/>
      <c r="G21" s="45" t="n"/>
      <c r="H21" s="45" t="n"/>
      <c r="I21" s="45" t="n"/>
      <c r="J21" s="45" t="n"/>
      <c r="K21" s="45" t="n"/>
      <c r="L21" s="50" t="n"/>
      <c r="M21" s="45" t="n"/>
      <c r="N21" s="45" t="n"/>
      <c r="O21" s="45" t="n"/>
      <c r="P21" s="45" t="n"/>
      <c r="Q21" s="45" t="n"/>
      <c r="R21" s="45" t="n"/>
      <c r="S21" s="45" t="n"/>
      <c r="T21" s="45" t="n"/>
      <c r="U21" s="45" t="n"/>
      <c r="V21" s="45" t="n"/>
      <c r="W21" s="45" t="n"/>
      <c r="X21" s="50" t="n"/>
      <c r="Y21" s="45" t="n"/>
      <c r="Z21" s="45" t="n"/>
      <c r="AA21" s="45" t="n"/>
      <c r="AB21" s="45" t="n"/>
      <c r="AC21" s="45" t="n"/>
      <c r="AD21" s="45" t="n"/>
      <c r="AE21" s="45" t="n"/>
      <c r="AF21" s="45" t="n"/>
      <c r="AG21" s="45" t="n"/>
      <c r="AH21" s="45" t="n"/>
      <c r="AI21" s="45" t="n"/>
      <c r="AJ21" s="50" t="n"/>
      <c r="AK21" s="45" t="n"/>
      <c r="AL21" s="45" t="n"/>
      <c r="AM21" s="45" t="n"/>
      <c r="AN21" s="45" t="n"/>
      <c r="AO21" s="45" t="n"/>
      <c r="AP21" s="45" t="n"/>
      <c r="AQ21" s="45" t="n"/>
      <c r="AR21" s="45" t="n"/>
      <c r="AS21" s="45" t="n"/>
      <c r="AT21" s="45" t="n"/>
      <c r="AU21" s="45" t="n"/>
      <c r="AV21" s="45" t="n"/>
      <c r="AW21" s="45" t="n"/>
      <c r="AX21" s="45" t="n"/>
      <c r="AY21" s="46" t="n"/>
    </row>
    <row r="22" ht="15" customHeight="1">
      <c r="B22" s="44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  <c r="U22" s="45" t="n"/>
      <c r="V22" s="45" t="n"/>
      <c r="W22" s="45" t="n"/>
      <c r="X22" s="45" t="n"/>
      <c r="Y22" s="45" t="n"/>
      <c r="Z22" s="45" t="n"/>
      <c r="AA22" s="45" t="n"/>
      <c r="AB22" s="45" t="n"/>
      <c r="AC22" s="45" t="n"/>
      <c r="AD22" s="45" t="n"/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45" t="n"/>
      <c r="AT22" s="45" t="n"/>
      <c r="AU22" s="45" t="n"/>
      <c r="AV22" s="45" t="n"/>
      <c r="AW22" s="45" t="n"/>
      <c r="AX22" s="45" t="n"/>
      <c r="AY22" s="46" t="n"/>
    </row>
    <row r="23" ht="15" customHeight="1">
      <c r="B23" s="44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  <c r="N23" s="45" t="n"/>
      <c r="O23" s="45" t="n"/>
      <c r="P23" s="45" t="n"/>
      <c r="Q23" s="45" t="n"/>
      <c r="R23" s="45" t="n"/>
      <c r="S23" s="45" t="n"/>
      <c r="T23" s="45" t="n"/>
      <c r="U23" s="45" t="n"/>
      <c r="V23" s="45" t="n"/>
      <c r="W23" s="45" t="n"/>
      <c r="X23" s="45" t="n"/>
      <c r="Y23" s="45" t="n"/>
      <c r="Z23" s="45" t="n"/>
      <c r="AA23" s="45" t="n"/>
      <c r="AB23" s="45" t="n"/>
      <c r="AC23" s="45" t="n"/>
      <c r="AD23" s="45" t="n"/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45" t="n"/>
      <c r="AT23" s="45" t="n"/>
      <c r="AU23" s="45" t="n"/>
      <c r="AV23" s="45" t="n"/>
      <c r="AW23" s="45" t="n"/>
      <c r="AX23" s="45" t="n"/>
      <c r="AY23" s="46" t="n"/>
    </row>
    <row r="24" ht="15" customHeight="1">
      <c r="B24" s="44" t="n"/>
      <c r="C24" s="45" t="n"/>
      <c r="D24" s="45" t="n"/>
      <c r="E24" s="45" t="n"/>
      <c r="F24" s="45" t="n"/>
      <c r="G24" s="45" t="n"/>
      <c r="H24" s="45" t="n"/>
      <c r="I24" s="45" t="n"/>
      <c r="J24" s="45" t="n"/>
      <c r="K24" s="45" t="n"/>
      <c r="L24" s="45" t="n"/>
      <c r="M24" s="45" t="n"/>
      <c r="N24" s="45" t="n"/>
      <c r="O24" s="45" t="n"/>
      <c r="P24" s="45" t="n"/>
      <c r="Q24" s="45" t="n"/>
      <c r="R24" s="45" t="n"/>
      <c r="S24" s="45" t="n"/>
      <c r="T24" s="45" t="n"/>
      <c r="U24" s="45" t="n"/>
      <c r="V24" s="45" t="n"/>
      <c r="W24" s="45" t="n"/>
      <c r="X24" s="45" t="n"/>
      <c r="Y24" s="45" t="n"/>
      <c r="Z24" s="45" t="n"/>
      <c r="AA24" s="45" t="n"/>
      <c r="AB24" s="45" t="n"/>
      <c r="AC24" s="45" t="n"/>
      <c r="AD24" s="45" t="n"/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45" t="n"/>
      <c r="AT24" s="45" t="n"/>
      <c r="AU24" s="45" t="n"/>
      <c r="AV24" s="45" t="n"/>
      <c r="AW24" s="45" t="n"/>
      <c r="AX24" s="45" t="n"/>
      <c r="AY24" s="46" t="n"/>
    </row>
    <row r="25" ht="15" customHeight="1">
      <c r="B25" s="44" t="n"/>
      <c r="C25" s="45" t="n"/>
      <c r="D25" s="45" t="n"/>
      <c r="E25" s="45" t="n"/>
      <c r="F25" s="45" t="n"/>
      <c r="G25" s="45" t="n"/>
      <c r="H25" s="45" t="n"/>
      <c r="I25" s="45" t="n"/>
      <c r="J25" s="53">
        <f>IFERROR('Makine Giris'!B5,"Makine 1")</f>
        <v/>
      </c>
      <c r="K25" s="51" t="n"/>
      <c r="L25" s="51" t="n"/>
      <c r="M25" s="51" t="n"/>
      <c r="N25" s="52" t="n"/>
      <c r="O25" s="45" t="n"/>
      <c r="P25" s="45" t="n"/>
      <c r="Q25" s="45" t="n"/>
      <c r="R25" s="45" t="n"/>
      <c r="S25" s="45" t="n"/>
      <c r="T25" s="45" t="n"/>
      <c r="U25" s="45" t="n"/>
      <c r="V25" s="53">
        <f>IFERROR('Makine Giris'!B6,"Makine 2")</f>
        <v/>
      </c>
      <c r="W25" s="51" t="n"/>
      <c r="X25" s="51" t="n"/>
      <c r="Y25" s="51" t="n"/>
      <c r="Z25" s="52" t="n"/>
      <c r="AA25" s="45" t="n"/>
      <c r="AB25" s="45" t="n"/>
      <c r="AC25" s="45" t="n"/>
      <c r="AD25" s="45" t="n"/>
      <c r="AE25" s="45" t="n"/>
      <c r="AF25" s="45" t="n"/>
      <c r="AG25" s="45" t="n"/>
      <c r="AH25" s="53">
        <f>IFERROR('Makine Giris'!B7,"Makine 3")</f>
        <v/>
      </c>
      <c r="AI25" s="51" t="n"/>
      <c r="AJ25" s="51" t="n"/>
      <c r="AK25" s="51" t="n"/>
      <c r="AL25" s="52" t="n"/>
      <c r="AM25" s="45" t="n"/>
      <c r="AN25" s="45" t="n"/>
      <c r="AO25" s="45" t="n"/>
      <c r="AP25" s="45" t="n"/>
      <c r="AQ25" s="45" t="n"/>
      <c r="AR25" s="45" t="n"/>
      <c r="AS25" s="45" t="n"/>
      <c r="AT25" s="45" t="n"/>
      <c r="AU25" s="45" t="n"/>
      <c r="AV25" s="45" t="n"/>
      <c r="AW25" s="45" t="n"/>
      <c r="AX25" s="45" t="n"/>
      <c r="AY25" s="46" t="n"/>
    </row>
    <row r="26" ht="15" customHeight="1">
      <c r="B26" s="44" t="n"/>
      <c r="C26" s="45" t="n"/>
      <c r="D26" s="45" t="n"/>
      <c r="E26" s="45" t="n"/>
      <c r="F26" s="45" t="n"/>
      <c r="G26" s="45" t="n"/>
      <c r="H26" s="45" t="n"/>
      <c r="I26" s="45" t="n"/>
      <c r="J26" s="45" t="n"/>
      <c r="K26" s="45" t="n"/>
      <c r="L26" s="45" t="n"/>
      <c r="M26" s="45" t="n"/>
      <c r="N26" s="45" t="n"/>
      <c r="O26" s="45" t="n"/>
      <c r="P26" s="45" t="n"/>
      <c r="Q26" s="45" t="n"/>
      <c r="R26" s="45" t="n"/>
      <c r="S26" s="45" t="n"/>
      <c r="T26" s="45" t="n"/>
      <c r="U26" s="45" t="n"/>
      <c r="V26" s="45" t="n"/>
      <c r="W26" s="45" t="n"/>
      <c r="X26" s="45" t="n"/>
      <c r="Y26" s="45" t="n"/>
      <c r="Z26" s="45" t="n"/>
      <c r="AA26" s="45" t="n"/>
      <c r="AB26" s="45" t="n"/>
      <c r="AC26" s="45" t="n"/>
      <c r="AD26" s="45" t="n"/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45" t="n"/>
      <c r="AQ26" s="45" t="n"/>
      <c r="AR26" s="45" t="n"/>
      <c r="AS26" s="45" t="n"/>
      <c r="AT26" s="45" t="n"/>
      <c r="AU26" s="45" t="n"/>
      <c r="AV26" s="45" t="n"/>
      <c r="AW26" s="45" t="n"/>
      <c r="AX26" s="45" t="n"/>
      <c r="AY26" s="46" t="n"/>
    </row>
    <row r="27" ht="15" customHeight="1">
      <c r="B27" s="44" t="n"/>
      <c r="C27" s="45" t="n"/>
      <c r="D27" s="45" t="n"/>
      <c r="E27" s="45" t="n"/>
      <c r="F27" s="45" t="n"/>
      <c r="G27" s="45" t="n"/>
      <c r="H27" s="45" t="n"/>
      <c r="I27" s="45" t="n"/>
      <c r="J27" s="45" t="n"/>
      <c r="K27" s="45" t="n"/>
      <c r="L27" s="45" t="n"/>
      <c r="M27" s="45" t="n"/>
      <c r="N27" s="45" t="n"/>
      <c r="O27" s="45" t="n"/>
      <c r="P27" s="45" t="n"/>
      <c r="Q27" s="45" t="n"/>
      <c r="R27" s="45" t="n"/>
      <c r="S27" s="45" t="n"/>
      <c r="T27" s="45" t="n"/>
      <c r="U27" s="45" t="n"/>
      <c r="V27" s="45" t="n"/>
      <c r="W27" s="45" t="n"/>
      <c r="X27" s="45" t="n"/>
      <c r="Y27" s="45" t="n"/>
      <c r="Z27" s="45" t="n"/>
      <c r="AA27" s="45" t="n"/>
      <c r="AB27" s="45" t="n"/>
      <c r="AC27" s="45" t="n"/>
      <c r="AD27" s="45" t="n"/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45" t="n"/>
      <c r="AT27" s="45" t="n"/>
      <c r="AU27" s="45" t="n"/>
      <c r="AV27" s="45" t="n"/>
      <c r="AW27" s="45" t="n"/>
      <c r="AX27" s="45" t="n"/>
      <c r="AY27" s="46" t="n"/>
    </row>
    <row r="28" ht="15" customHeight="1">
      <c r="B28" s="44" t="n"/>
      <c r="C28" s="45" t="n"/>
      <c r="D28" s="45" t="n"/>
      <c r="E28" s="45" t="n"/>
      <c r="F28" s="45" t="n"/>
      <c r="G28" s="45" t="n"/>
      <c r="H28" s="45" t="n"/>
      <c r="I28" s="45" t="n"/>
      <c r="J28" s="45" t="n"/>
      <c r="K28" s="45" t="n"/>
      <c r="L28" s="45" t="n"/>
      <c r="M28" s="45" t="n"/>
      <c r="N28" s="45" t="n"/>
      <c r="O28" s="45" t="n"/>
      <c r="P28" s="45" t="n"/>
      <c r="Q28" s="45" t="n"/>
      <c r="R28" s="45" t="n"/>
      <c r="S28" s="45" t="n"/>
      <c r="T28" s="45" t="n"/>
      <c r="U28" s="45" t="n"/>
      <c r="V28" s="45" t="n"/>
      <c r="W28" s="45" t="n"/>
      <c r="X28" s="45" t="n"/>
      <c r="Y28" s="45" t="n"/>
      <c r="Z28" s="45" t="n"/>
      <c r="AA28" s="45" t="n"/>
      <c r="AB28" s="45" t="n"/>
      <c r="AC28" s="45" t="n"/>
      <c r="AD28" s="45" t="n"/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45" t="n"/>
      <c r="AT28" s="45" t="n"/>
      <c r="AU28" s="45" t="n"/>
      <c r="AV28" s="45" t="n"/>
      <c r="AW28" s="45" t="n"/>
      <c r="AX28" s="45" t="n"/>
      <c r="AY28" s="46" t="n"/>
    </row>
    <row r="29" ht="15" customHeight="1">
      <c r="B29" s="44" t="n"/>
      <c r="C29" s="45" t="n"/>
      <c r="D29" s="45" t="n"/>
      <c r="E29" s="45" t="n"/>
      <c r="F29" s="45" t="n"/>
      <c r="G29" s="45" t="n"/>
      <c r="H29" s="45" t="n"/>
      <c r="I29" s="45" t="n"/>
      <c r="J29" s="45" t="n"/>
      <c r="K29" s="45" t="n"/>
      <c r="L29" s="45" t="n"/>
      <c r="M29" s="45" t="n"/>
      <c r="N29" s="45" t="n"/>
      <c r="O29" s="45" t="n"/>
      <c r="P29" s="45" t="n"/>
      <c r="Q29" s="45" t="n"/>
      <c r="R29" s="45" t="n"/>
      <c r="S29" s="45" t="n"/>
      <c r="T29" s="45" t="n"/>
      <c r="U29" s="45" t="n"/>
      <c r="V29" s="45" t="n"/>
      <c r="W29" s="45" t="n"/>
      <c r="X29" s="45" t="n"/>
      <c r="Y29" s="45" t="n"/>
      <c r="Z29" s="45" t="n"/>
      <c r="AA29" s="45" t="n"/>
      <c r="AB29" s="45" t="n"/>
      <c r="AC29" s="45" t="n"/>
      <c r="AD29" s="45" t="n"/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45" t="n"/>
      <c r="AQ29" s="45" t="n"/>
      <c r="AR29" s="45" t="n"/>
      <c r="AS29" s="45" t="n"/>
      <c r="AT29" s="45" t="n"/>
      <c r="AU29" s="45" t="n"/>
      <c r="AV29" s="45" t="n"/>
      <c r="AW29" s="45" t="n"/>
      <c r="AX29" s="45" t="n"/>
      <c r="AY29" s="46" t="n"/>
    </row>
    <row r="30" ht="15" customHeight="1">
      <c r="B30" s="44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5" t="n"/>
      <c r="O30" s="45" t="n"/>
      <c r="P30" s="45" t="n"/>
      <c r="Q30" s="45" t="n"/>
      <c r="R30" s="45" t="n"/>
      <c r="S30" s="45" t="n"/>
      <c r="T30" s="45" t="n"/>
      <c r="U30" s="45" t="n"/>
      <c r="V30" s="45" t="n"/>
      <c r="W30" s="45" t="n"/>
      <c r="X30" s="45" t="n"/>
      <c r="Y30" s="45" t="n"/>
      <c r="Z30" s="45" t="n"/>
      <c r="AA30" s="45" t="n"/>
      <c r="AB30" s="45" t="n"/>
      <c r="AC30" s="45" t="n"/>
      <c r="AD30" s="45" t="n"/>
      <c r="AE30" s="45" t="n"/>
      <c r="AF30" s="45" t="n"/>
      <c r="AG30" s="45" t="n"/>
      <c r="AH30" s="45" t="n"/>
      <c r="AI30" s="45" t="n"/>
      <c r="AJ30" s="45" t="n"/>
      <c r="AK30" s="45" t="n"/>
      <c r="AL30" s="45" t="n"/>
      <c r="AM30" s="45" t="n"/>
      <c r="AN30" s="45" t="n"/>
      <c r="AO30" s="45" t="n"/>
      <c r="AP30" s="45" t="n"/>
      <c r="AQ30" s="45" t="n"/>
      <c r="AR30" s="45" t="n"/>
      <c r="AS30" s="45" t="n"/>
      <c r="AT30" s="45" t="n"/>
      <c r="AU30" s="45" t="n"/>
      <c r="AV30" s="45" t="n"/>
      <c r="AW30" s="45" t="n"/>
      <c r="AX30" s="45" t="n"/>
      <c r="AY30" s="46" t="n"/>
    </row>
    <row r="31" ht="15" customHeight="1">
      <c r="B31" s="44" t="n"/>
      <c r="C31" s="45" t="n"/>
      <c r="D31" s="45" t="n"/>
      <c r="E31" s="45" t="n"/>
      <c r="F31" s="45" t="n"/>
      <c r="G31" s="45" t="n"/>
      <c r="H31" s="45" t="n"/>
      <c r="I31" s="45" t="n"/>
      <c r="J31" s="45" t="n"/>
      <c r="K31" s="45" t="n"/>
      <c r="L31" s="45" t="n"/>
      <c r="M31" s="45" t="n"/>
      <c r="N31" s="45" t="n"/>
      <c r="O31" s="45" t="n"/>
      <c r="P31" s="45" t="n"/>
      <c r="Q31" s="45" t="n"/>
      <c r="R31" s="45" t="n"/>
      <c r="S31" s="45" t="n"/>
      <c r="T31" s="45" t="n"/>
      <c r="U31" s="45" t="n"/>
      <c r="V31" s="45" t="n"/>
      <c r="W31" s="45" t="n"/>
      <c r="X31" s="45" t="n"/>
      <c r="Y31" s="45" t="n"/>
      <c r="Z31" s="45" t="n"/>
      <c r="AA31" s="45" t="n"/>
      <c r="AB31" s="45" t="n"/>
      <c r="AC31" s="45" t="n"/>
      <c r="AD31" s="45" t="n"/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45" t="n"/>
      <c r="AS31" s="45" t="n"/>
      <c r="AT31" s="45" t="n"/>
      <c r="AU31" s="45" t="n"/>
      <c r="AV31" s="45" t="n"/>
      <c r="AW31" s="45" t="n"/>
      <c r="AX31" s="45" t="n"/>
      <c r="AY31" s="46" t="n"/>
    </row>
    <row r="32" ht="15" customHeight="1">
      <c r="B32" s="44" t="n"/>
      <c r="C32" s="45" t="n"/>
      <c r="D32" s="45" t="n"/>
      <c r="E32" s="45" t="n"/>
      <c r="F32" s="45" t="n"/>
      <c r="G32" s="45" t="n"/>
      <c r="H32" s="45" t="n"/>
      <c r="I32" s="45" t="n"/>
      <c r="J32" s="45" t="n"/>
      <c r="K32" s="45" t="n"/>
      <c r="L32" s="45" t="n"/>
      <c r="M32" s="45" t="n"/>
      <c r="N32" s="45" t="n"/>
      <c r="O32" s="45" t="n"/>
      <c r="P32" s="45" t="n"/>
      <c r="Q32" s="45" t="n"/>
      <c r="R32" s="45" t="n"/>
      <c r="S32" s="45" t="n"/>
      <c r="T32" s="45" t="n"/>
      <c r="U32" s="45" t="n"/>
      <c r="V32" s="45" t="n"/>
      <c r="W32" s="45" t="n"/>
      <c r="X32" s="45" t="n"/>
      <c r="Y32" s="45" t="n"/>
      <c r="Z32" s="45" t="n"/>
      <c r="AA32" s="45" t="n"/>
      <c r="AB32" s="45" t="n"/>
      <c r="AC32" s="45" t="n"/>
      <c r="AD32" s="45" t="n"/>
      <c r="AE32" s="45" t="n"/>
      <c r="AF32" s="45" t="n"/>
      <c r="AG32" s="45" t="n"/>
      <c r="AH32" s="45" t="n"/>
      <c r="AI32" s="45" t="n"/>
      <c r="AJ32" s="45" t="n"/>
      <c r="AK32" s="45" t="n"/>
      <c r="AL32" s="45" t="n"/>
      <c r="AM32" s="45" t="n"/>
      <c r="AN32" s="45" t="n"/>
      <c r="AO32" s="45" t="n"/>
      <c r="AP32" s="45" t="n"/>
      <c r="AQ32" s="45" t="n"/>
      <c r="AR32" s="45" t="n"/>
      <c r="AS32" s="45" t="n"/>
      <c r="AT32" s="45" t="n"/>
      <c r="AU32" s="45" t="n"/>
      <c r="AV32" s="45" t="n"/>
      <c r="AW32" s="45" t="n"/>
      <c r="AX32" s="45" t="n"/>
      <c r="AY32" s="46" t="n"/>
    </row>
    <row r="33" ht="15" customHeight="1">
      <c r="B33" s="44" t="n"/>
      <c r="C33" s="45" t="n"/>
      <c r="D33" s="45" t="n"/>
      <c r="E33" s="45" t="n"/>
      <c r="F33" s="45" t="n"/>
      <c r="G33" s="45" t="n"/>
      <c r="H33" s="45" t="n"/>
      <c r="I33" s="45" t="n"/>
      <c r="J33" s="45" t="n"/>
      <c r="K33" s="45" t="n"/>
      <c r="L33" s="45" t="n"/>
      <c r="M33" s="45" t="n"/>
      <c r="N33" s="45" t="n"/>
      <c r="O33" s="45" t="n"/>
      <c r="P33" s="45" t="n"/>
      <c r="Q33" s="45" t="n"/>
      <c r="R33" s="45" t="n"/>
      <c r="S33" s="45" t="n"/>
      <c r="T33" s="45" t="n"/>
      <c r="U33" s="45" t="n"/>
      <c r="V33" s="45" t="n"/>
      <c r="W33" s="45" t="n"/>
      <c r="X33" s="45" t="n"/>
      <c r="Y33" s="45" t="n"/>
      <c r="Z33" s="45" t="n"/>
      <c r="AA33" s="45" t="n"/>
      <c r="AB33" s="45" t="n"/>
      <c r="AC33" s="45" t="n"/>
      <c r="AD33" s="45" t="n"/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45" t="n"/>
      <c r="AQ33" s="45" t="n"/>
      <c r="AR33" s="45" t="n"/>
      <c r="AS33" s="45" t="n"/>
      <c r="AT33" s="45" t="n"/>
      <c r="AU33" s="45" t="n"/>
      <c r="AV33" s="45" t="n"/>
      <c r="AW33" s="45" t="n"/>
      <c r="AX33" s="45" t="n"/>
      <c r="AY33" s="46" t="n"/>
    </row>
    <row r="34" ht="15" customHeight="1">
      <c r="B34" s="44" t="n"/>
      <c r="C34" s="45" t="n"/>
      <c r="D34" s="45" t="n"/>
      <c r="E34" s="45" t="n"/>
      <c r="F34" s="45" t="n"/>
      <c r="G34" s="45" t="n"/>
      <c r="H34" s="45" t="n"/>
      <c r="I34" s="45" t="n"/>
      <c r="J34" s="45" t="n"/>
      <c r="K34" s="45" t="n"/>
      <c r="L34" s="45" t="n"/>
      <c r="M34" s="45" t="n"/>
      <c r="N34" s="45" t="n"/>
      <c r="O34" s="45" t="n"/>
      <c r="P34" s="45" t="n"/>
      <c r="Q34" s="45" t="n"/>
      <c r="R34" s="45" t="n"/>
      <c r="S34" s="45" t="n"/>
      <c r="T34" s="45" t="n"/>
      <c r="U34" s="45" t="n"/>
      <c r="V34" s="45" t="n"/>
      <c r="W34" s="45" t="n"/>
      <c r="X34" s="45" t="n"/>
      <c r="Y34" s="45" t="n"/>
      <c r="Z34" s="45" t="n"/>
      <c r="AA34" s="45" t="n"/>
      <c r="AB34" s="45" t="n"/>
      <c r="AC34" s="45" t="n"/>
      <c r="AD34" s="45" t="n"/>
      <c r="AE34" s="45" t="n"/>
      <c r="AF34" s="45" t="n"/>
      <c r="AG34" s="45" t="n"/>
      <c r="AH34" s="45" t="n"/>
      <c r="AI34" s="45" t="n"/>
      <c r="AJ34" s="45" t="n"/>
      <c r="AK34" s="45" t="n"/>
      <c r="AL34" s="45" t="n"/>
      <c r="AM34" s="45" t="n"/>
      <c r="AN34" s="45" t="n"/>
      <c r="AO34" s="45" t="n"/>
      <c r="AP34" s="45" t="n"/>
      <c r="AQ34" s="45" t="n"/>
      <c r="AR34" s="45" t="n"/>
      <c r="AS34" s="45" t="n"/>
      <c r="AT34" s="45" t="n"/>
      <c r="AU34" s="45" t="n"/>
      <c r="AV34" s="45" t="n"/>
      <c r="AW34" s="45" t="n"/>
      <c r="AX34" s="45" t="n"/>
      <c r="AY34" s="46" t="n"/>
    </row>
    <row r="35" ht="15" customHeight="1">
      <c r="B35" s="44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  <c r="U35" s="45" t="n"/>
      <c r="V35" s="45" t="n"/>
      <c r="W35" s="45" t="n"/>
      <c r="X35" s="45" t="n"/>
      <c r="Y35" s="45" t="n"/>
      <c r="Z35" s="45" t="n"/>
      <c r="AA35" s="45" t="n"/>
      <c r="AB35" s="45" t="n"/>
      <c r="AC35" s="45" t="n"/>
      <c r="AD35" s="45" t="n"/>
      <c r="AE35" s="45" t="n"/>
      <c r="AF35" s="45" t="n"/>
      <c r="AG35" s="45" t="n"/>
      <c r="AH35" s="45" t="n"/>
      <c r="AI35" s="45" t="n"/>
      <c r="AJ35" s="45" t="n"/>
      <c r="AK35" s="45" t="n"/>
      <c r="AL35" s="45" t="n"/>
      <c r="AM35" s="45" t="n"/>
      <c r="AN35" s="45" t="n"/>
      <c r="AO35" s="45" t="n"/>
      <c r="AP35" s="45" t="n"/>
      <c r="AQ35" s="45" t="n"/>
      <c r="AR35" s="45" t="n"/>
      <c r="AS35" s="45" t="n"/>
      <c r="AT35" s="45" t="n"/>
      <c r="AU35" s="45" t="n"/>
      <c r="AV35" s="45" t="n"/>
      <c r="AW35" s="45" t="n"/>
      <c r="AX35" s="45" t="n"/>
      <c r="AY35" s="46" t="n"/>
    </row>
    <row r="36" ht="15" customHeight="1">
      <c r="B36" s="44" t="n"/>
      <c r="C36" s="45" t="n"/>
      <c r="D36" s="45" t="n"/>
      <c r="E36" s="45" t="n"/>
      <c r="F36" s="45" t="n"/>
      <c r="G36" s="45" t="n"/>
      <c r="H36" s="45" t="n"/>
      <c r="I36" s="45" t="n"/>
      <c r="J36" s="45" t="n"/>
      <c r="K36" s="45" t="n"/>
      <c r="L36" s="45" t="n"/>
      <c r="M36" s="45" t="n"/>
      <c r="N36" s="45" t="n"/>
      <c r="O36" s="45" t="n"/>
      <c r="P36" s="45" t="n"/>
      <c r="Q36" s="45" t="n"/>
      <c r="R36" s="45" t="n"/>
      <c r="S36" s="45" t="n"/>
      <c r="T36" s="45" t="n"/>
      <c r="U36" s="45" t="n"/>
      <c r="V36" s="45" t="n"/>
      <c r="W36" s="45" t="n"/>
      <c r="X36" s="45" t="n"/>
      <c r="Y36" s="45" t="n"/>
      <c r="Z36" s="45" t="n"/>
      <c r="AA36" s="45" t="n"/>
      <c r="AB36" s="45" t="n"/>
      <c r="AC36" s="45" t="n"/>
      <c r="AD36" s="45" t="n"/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45" t="n"/>
      <c r="AQ36" s="45" t="n"/>
      <c r="AR36" s="45" t="n"/>
      <c r="AS36" s="45" t="n"/>
      <c r="AT36" s="45" t="n"/>
      <c r="AU36" s="45" t="n"/>
      <c r="AV36" s="45" t="n"/>
      <c r="AW36" s="45" t="n"/>
      <c r="AX36" s="45" t="n"/>
      <c r="AY36" s="46" t="n"/>
    </row>
    <row r="37" ht="15" customHeight="1">
      <c r="B37" s="44" t="n"/>
      <c r="C37" s="45" t="n"/>
      <c r="D37" s="45" t="n"/>
      <c r="E37" s="45" t="n"/>
      <c r="F37" s="45" t="n"/>
      <c r="G37" s="45" t="n"/>
      <c r="H37" s="45" t="n"/>
      <c r="I37" s="45" t="n"/>
      <c r="J37" s="45" t="n"/>
      <c r="K37" s="45" t="n"/>
      <c r="L37" s="45" t="n"/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5" t="n"/>
      <c r="W37" s="45" t="n"/>
      <c r="X37" s="45" t="n"/>
      <c r="Y37" s="45" t="n"/>
      <c r="Z37" s="45" t="n"/>
      <c r="AA37" s="45" t="n"/>
      <c r="AB37" s="45" t="n"/>
      <c r="AC37" s="45" t="n"/>
      <c r="AD37" s="45" t="n"/>
      <c r="AE37" s="45" t="n"/>
      <c r="AF37" s="45" t="n"/>
      <c r="AG37" s="45" t="n"/>
      <c r="AH37" s="45" t="n"/>
      <c r="AI37" s="45" t="n"/>
      <c r="AJ37" s="45" t="n"/>
      <c r="AK37" s="45" t="n"/>
      <c r="AL37" s="45" t="n"/>
      <c r="AM37" s="45" t="n"/>
      <c r="AN37" s="45" t="n"/>
      <c r="AO37" s="45" t="n"/>
      <c r="AP37" s="45" t="n"/>
      <c r="AQ37" s="45" t="n"/>
      <c r="AR37" s="45" t="n"/>
      <c r="AS37" s="45" t="n"/>
      <c r="AT37" s="45" t="n"/>
      <c r="AU37" s="45" t="n"/>
      <c r="AV37" s="45" t="n"/>
      <c r="AW37" s="45" t="n"/>
      <c r="AX37" s="45" t="n"/>
      <c r="AY37" s="46" t="n"/>
    </row>
    <row r="38" ht="15" customHeight="1">
      <c r="B38" s="44" t="n"/>
      <c r="C38" s="45" t="n"/>
      <c r="D38" s="45" t="n"/>
      <c r="E38" s="45" t="n"/>
      <c r="F38" s="45" t="n"/>
      <c r="G38" s="45" t="n"/>
      <c r="H38" s="45" t="n"/>
      <c r="I38" s="45" t="n"/>
      <c r="J38" s="45" t="n"/>
      <c r="K38" s="45" t="n"/>
      <c r="L38" s="45" t="n"/>
      <c r="M38" s="45" t="n"/>
      <c r="N38" s="45" t="n"/>
      <c r="O38" s="45" t="n"/>
      <c r="P38" s="45" t="n"/>
      <c r="Q38" s="45" t="n"/>
      <c r="R38" s="45" t="n"/>
      <c r="S38" s="45" t="n"/>
      <c r="T38" s="45" t="n"/>
      <c r="U38" s="45" t="n"/>
      <c r="V38" s="45" t="n"/>
      <c r="W38" s="45" t="n"/>
      <c r="X38" s="45" t="n"/>
      <c r="Y38" s="45" t="n"/>
      <c r="Z38" s="45" t="n"/>
      <c r="AA38" s="45" t="n"/>
      <c r="AB38" s="45" t="n"/>
      <c r="AC38" s="45" t="n"/>
      <c r="AD38" s="45" t="n"/>
      <c r="AE38" s="45" t="n"/>
      <c r="AF38" s="45" t="n"/>
      <c r="AG38" s="45" t="n"/>
      <c r="AH38" s="45" t="n"/>
      <c r="AI38" s="45" t="n"/>
      <c r="AJ38" s="45" t="n"/>
      <c r="AK38" s="45" t="n"/>
      <c r="AL38" s="45" t="n"/>
      <c r="AM38" s="45" t="n"/>
      <c r="AN38" s="45" t="n"/>
      <c r="AO38" s="45" t="n"/>
      <c r="AP38" s="45" t="n"/>
      <c r="AQ38" s="45" t="n"/>
      <c r="AR38" s="45" t="n"/>
      <c r="AS38" s="45" t="n"/>
      <c r="AT38" s="45" t="n"/>
      <c r="AU38" s="45" t="n"/>
      <c r="AV38" s="45" t="n"/>
      <c r="AW38" s="45" t="n"/>
      <c r="AX38" s="45" t="n"/>
      <c r="AY38" s="46" t="n"/>
    </row>
    <row r="39" ht="15" customHeight="1">
      <c r="B39" s="44" t="n"/>
      <c r="C39" s="45" t="n"/>
      <c r="D39" s="45" t="n"/>
      <c r="E39" s="45" t="n"/>
      <c r="F39" s="45" t="n"/>
      <c r="G39" s="45" t="n"/>
      <c r="H39" s="45" t="n"/>
      <c r="I39" s="45" t="n"/>
      <c r="J39" s="45" t="n"/>
      <c r="K39" s="45" t="n"/>
      <c r="L39" s="45" t="n"/>
      <c r="M39" s="45" t="n"/>
      <c r="N39" s="45" t="n"/>
      <c r="O39" s="45" t="n"/>
      <c r="P39" s="45" t="n"/>
      <c r="Q39" s="45" t="n"/>
      <c r="R39" s="45" t="n"/>
      <c r="S39" s="45" t="n"/>
      <c r="T39" s="45" t="n"/>
      <c r="U39" s="45" t="n"/>
      <c r="V39" s="45" t="n"/>
      <c r="W39" s="45" t="n"/>
      <c r="X39" s="45" t="n"/>
      <c r="Y39" s="45" t="n"/>
      <c r="Z39" s="45" t="n"/>
      <c r="AA39" s="45" t="n"/>
      <c r="AB39" s="45" t="n"/>
      <c r="AC39" s="45" t="n"/>
      <c r="AD39" s="45" t="n"/>
      <c r="AE39" s="45" t="n"/>
      <c r="AF39" s="45" t="n"/>
      <c r="AG39" s="45" t="n"/>
      <c r="AH39" s="45" t="n"/>
      <c r="AI39" s="45" t="n"/>
      <c r="AJ39" s="45" t="n"/>
      <c r="AK39" s="45" t="n"/>
      <c r="AL39" s="45" t="n"/>
      <c r="AM39" s="45" t="n"/>
      <c r="AN39" s="45" t="n"/>
      <c r="AO39" s="45" t="n"/>
      <c r="AP39" s="45" t="n"/>
      <c r="AQ39" s="45" t="n"/>
      <c r="AR39" s="45" t="n"/>
      <c r="AS39" s="45" t="n"/>
      <c r="AT39" s="45" t="n"/>
      <c r="AU39" s="45" t="n"/>
      <c r="AV39" s="45" t="n"/>
      <c r="AW39" s="45" t="n"/>
      <c r="AX39" s="45" t="n"/>
      <c r="AY39" s="46" t="n"/>
    </row>
    <row r="40" ht="15" customHeight="1">
      <c r="B40" s="44" t="n"/>
      <c r="C40" s="45" t="n"/>
      <c r="D40" s="45" t="n"/>
      <c r="E40" s="45" t="n"/>
      <c r="F40" s="45" t="n"/>
      <c r="G40" s="45" t="n"/>
      <c r="H40" s="45" t="n"/>
      <c r="I40" s="45" t="n"/>
      <c r="J40" s="45" t="n"/>
      <c r="K40" s="45" t="n"/>
      <c r="L40" s="45" t="n"/>
      <c r="M40" s="45" t="n"/>
      <c r="N40" s="45" t="n"/>
      <c r="O40" s="45" t="n"/>
      <c r="P40" s="45" t="n"/>
      <c r="Q40" s="45" t="n"/>
      <c r="R40" s="45" t="n"/>
      <c r="S40" s="45" t="n"/>
      <c r="T40" s="45" t="n"/>
      <c r="U40" s="45" t="n"/>
      <c r="V40" s="45" t="n"/>
      <c r="W40" s="45" t="n"/>
      <c r="X40" s="45" t="n"/>
      <c r="Y40" s="45" t="n"/>
      <c r="Z40" s="45" t="n"/>
      <c r="AA40" s="45" t="n"/>
      <c r="AB40" s="45" t="n"/>
      <c r="AC40" s="45" t="n"/>
      <c r="AD40" s="45" t="n"/>
      <c r="AE40" s="45" t="n"/>
      <c r="AF40" s="45" t="n"/>
      <c r="AG40" s="45" t="n"/>
      <c r="AH40" s="45" t="n"/>
      <c r="AI40" s="45" t="n"/>
      <c r="AJ40" s="45" t="n"/>
      <c r="AK40" s="45" t="n"/>
      <c r="AL40" s="45" t="n"/>
      <c r="AM40" s="45" t="n"/>
      <c r="AN40" s="45" t="n"/>
      <c r="AO40" s="45" t="n"/>
      <c r="AP40" s="45" t="n"/>
      <c r="AQ40" s="45" t="n"/>
      <c r="AR40" s="45" t="n"/>
      <c r="AS40" s="45" t="n"/>
      <c r="AT40" s="45" t="n"/>
      <c r="AU40" s="45" t="n"/>
      <c r="AV40" s="45" t="n"/>
      <c r="AW40" s="45" t="n"/>
      <c r="AX40" s="45" t="n"/>
      <c r="AY40" s="46" t="n"/>
    </row>
    <row r="41" ht="15" customHeight="1">
      <c r="B41" s="44" t="n"/>
      <c r="C41" s="45" t="n"/>
      <c r="D41" s="45" t="n"/>
      <c r="E41" s="45" t="n"/>
      <c r="F41" s="45" t="n"/>
      <c r="G41" s="45" t="n"/>
      <c r="H41" s="45" t="n"/>
      <c r="I41" s="45" t="n"/>
      <c r="J41" s="45" t="n"/>
      <c r="K41" s="45" t="n"/>
      <c r="L41" s="45" t="n"/>
      <c r="M41" s="45" t="n"/>
      <c r="N41" s="45" t="n"/>
      <c r="O41" s="45" t="n"/>
      <c r="P41" s="45" t="n"/>
      <c r="Q41" s="45" t="n"/>
      <c r="R41" s="45" t="n"/>
      <c r="S41" s="45" t="n"/>
      <c r="T41" s="45" t="n"/>
      <c r="U41" s="45" t="n"/>
      <c r="V41" s="45" t="n"/>
      <c r="W41" s="45" t="n"/>
      <c r="X41" s="45" t="n"/>
      <c r="Y41" s="45" t="n"/>
      <c r="Z41" s="45" t="n"/>
      <c r="AA41" s="45" t="n"/>
      <c r="AB41" s="45" t="n"/>
      <c r="AC41" s="45" t="n"/>
      <c r="AD41" s="45" t="n"/>
      <c r="AE41" s="45" t="n"/>
      <c r="AF41" s="45" t="n"/>
      <c r="AG41" s="45" t="n"/>
      <c r="AH41" s="45" t="n"/>
      <c r="AI41" s="45" t="n"/>
      <c r="AJ41" s="45" t="n"/>
      <c r="AK41" s="45" t="n"/>
      <c r="AL41" s="45" t="n"/>
      <c r="AM41" s="45" t="n"/>
      <c r="AN41" s="45" t="n"/>
      <c r="AO41" s="45" t="n"/>
      <c r="AP41" s="45" t="n"/>
      <c r="AQ41" s="45" t="n"/>
      <c r="AR41" s="45" t="n"/>
      <c r="AS41" s="45" t="n"/>
      <c r="AT41" s="45" t="n"/>
      <c r="AU41" s="45" t="n"/>
      <c r="AV41" s="45" t="n"/>
      <c r="AW41" s="45" t="n"/>
      <c r="AX41" s="45" t="n"/>
      <c r="AY41" s="46" t="n"/>
    </row>
    <row r="42" ht="15" customHeight="1">
      <c r="B42" s="54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  <c r="Z42" s="55" t="n"/>
      <c r="AA42" s="55" t="n"/>
      <c r="AB42" s="55" t="n"/>
      <c r="AC42" s="55" t="n"/>
      <c r="AD42" s="55" t="n"/>
      <c r="AE42" s="55" t="n"/>
      <c r="AF42" s="55" t="n"/>
      <c r="AG42" s="55" t="n"/>
      <c r="AH42" s="55" t="n"/>
      <c r="AI42" s="55" t="n"/>
      <c r="AJ42" s="55" t="n"/>
      <c r="AK42" s="55" t="n"/>
      <c r="AL42" s="55" t="n"/>
      <c r="AM42" s="55" t="n"/>
      <c r="AN42" s="55" t="n"/>
      <c r="AO42" s="55" t="n"/>
      <c r="AP42" s="55" t="n"/>
      <c r="AQ42" s="55" t="n"/>
      <c r="AR42" s="55" t="n"/>
      <c r="AS42" s="55" t="n"/>
      <c r="AT42" s="55" t="n"/>
      <c r="AU42" s="55" t="n"/>
      <c r="AV42" s="55" t="n"/>
      <c r="AW42" s="55" t="n"/>
      <c r="AX42" s="55" t="n"/>
      <c r="AY42" s="56" t="n"/>
    </row>
    <row r="44">
      <c r="A44" s="23" t="inlineStr">
        <is>
          <t>SEMBOL LEJANDI</t>
        </is>
      </c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</row>
    <row r="45" ht="20" customHeight="1">
      <c r="C45" s="57" t="inlineStr">
        <is>
          <t>Yapi Kolonu (tipik 4m x 4m aralik)</t>
        </is>
      </c>
    </row>
    <row r="46" ht="20" customHeight="1">
      <c r="C46" s="57" t="inlineStr">
        <is>
          <t>Ana Hat Borusu</t>
        </is>
      </c>
    </row>
    <row r="47" ht="20" customHeight="1">
      <c r="C47" s="57" t="inlineStr">
        <is>
          <t>Bransman (Dal) Borusu</t>
        </is>
      </c>
    </row>
    <row r="48" ht="20" customHeight="1">
      <c r="C48" s="57" t="inlineStr">
        <is>
          <t>90 derece Dirsek</t>
        </is>
      </c>
    </row>
    <row r="49" ht="20" customHeight="1">
      <c r="C49" s="57" t="inlineStr">
        <is>
          <t>Filtre Unitesi</t>
        </is>
      </c>
    </row>
    <row r="50" ht="20" customHeight="1">
      <c r="C50" s="57" t="inlineStr">
        <is>
          <t>Fan (Aspirator)</t>
        </is>
      </c>
    </row>
    <row r="51" ht="20" customHeight="1">
      <c r="C51" s="57" t="inlineStr">
        <is>
          <t>Makine / Emis Noktasi</t>
        </is>
      </c>
    </row>
    <row r="53">
      <c r="A53" s="58" t="inlineStr">
        <is>
          <t>Not: Plan olcek/duvar konumlari temsilidir. Gercek fabrika olcum/proje verisine gore izgara satir-sutun sayisi (GRID_COL0..GRID_COLN, GRID_ROW0..GRID_ROWN) ve kolon araligi guncellenmelidir.</t>
        </is>
      </c>
    </row>
  </sheetData>
  <mergeCells count="15">
    <mergeCell ref="A1:T1"/>
    <mergeCell ref="A44:J44"/>
    <mergeCell ref="C48:J48"/>
    <mergeCell ref="V25:Z25"/>
    <mergeCell ref="J25:N25"/>
    <mergeCell ref="C46:J46"/>
    <mergeCell ref="C47:J47"/>
    <mergeCell ref="C51:J51"/>
    <mergeCell ref="AH25:AL25"/>
    <mergeCell ref="A53:T53"/>
    <mergeCell ref="C50:J50"/>
    <mergeCell ref="A2:T2"/>
    <mergeCell ref="C45:J45"/>
    <mergeCell ref="AU11:AX11"/>
    <mergeCell ref="C49:J49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zoomScale="100" workbookViewId="0">
      <selection activeCell="A1" sqref="A1"/>
    </sheetView>
  </sheetViews>
  <sheetFormatPr baseColWidth="8" defaultRowHeight="15" outlineLevelCol="0"/>
  <cols>
    <col width="8" customWidth="1" min="1" max="1"/>
    <col width="18" customWidth="1" min="2" max="2"/>
    <col width="16" customWidth="1" min="3" max="3"/>
    <col width="22" customWidth="1" min="4" max="4"/>
  </cols>
  <sheetData>
    <row r="1" ht="26" customHeight="1">
      <c r="A1" s="1" t="inlineStr">
        <is>
          <t>STANDART BORU CAPI SECIM TABLOSU (mm)</t>
        </is>
      </c>
      <c r="B1" s="2" t="n"/>
      <c r="C1" s="2" t="n"/>
      <c r="D1" s="2" t="n"/>
    </row>
    <row r="2" ht="28" customHeight="1">
      <c r="A2" s="9" t="inlineStr">
        <is>
          <t>Sistemde kullanilan standart spiral/duz dikiş boru capi serisi. Hesap sayfalari bu listeden bir ust standart capi otomatik secer (XLOOKUP, esit-veya-buyuk esleme).</t>
        </is>
      </c>
    </row>
    <row r="4" ht="32" customHeight="1">
      <c r="A4" s="4" t="inlineStr">
        <is>
          <t>Sira</t>
        </is>
      </c>
      <c r="B4" s="4" t="inlineStr">
        <is>
          <t>Standart Cap (mm)</t>
        </is>
      </c>
      <c r="C4" s="4" t="inlineStr">
        <is>
          <t>Kesit Alani (m2)</t>
        </is>
      </c>
      <c r="D4" s="4" t="inlineStr">
        <is>
          <t>Tavsiye Edilen Hiz Araligi (m/s)</t>
        </is>
      </c>
    </row>
    <row r="5">
      <c r="A5" s="5" t="n">
        <v>1</v>
      </c>
      <c r="B5" s="10" t="n">
        <v>80</v>
      </c>
      <c r="C5" s="11">
        <f>PI()/4*(B5/1000)^2</f>
        <v/>
      </c>
      <c r="D5" s="5" t="inlineStr">
        <is>
          <t>18 - 28 m/s (ahsap tozu tasima)</t>
        </is>
      </c>
    </row>
    <row r="6">
      <c r="A6" s="7" t="n">
        <v>2</v>
      </c>
      <c r="B6" s="12" t="n">
        <v>100</v>
      </c>
      <c r="C6" s="13">
        <f>PI()/4*(B6/1000)^2</f>
        <v/>
      </c>
      <c r="D6" s="7" t="inlineStr">
        <is>
          <t>18 - 28 m/s (ahsap tozu tasima)</t>
        </is>
      </c>
    </row>
    <row r="7">
      <c r="A7" s="5" t="n">
        <v>3</v>
      </c>
      <c r="B7" s="10" t="n">
        <v>120</v>
      </c>
      <c r="C7" s="11">
        <f>PI()/4*(B7/1000)^2</f>
        <v/>
      </c>
      <c r="D7" s="5" t="inlineStr">
        <is>
          <t>18 - 28 m/s (ahsap tozu tasima)</t>
        </is>
      </c>
    </row>
    <row r="8">
      <c r="A8" s="7" t="n">
        <v>4</v>
      </c>
      <c r="B8" s="12" t="n">
        <v>125</v>
      </c>
      <c r="C8" s="13">
        <f>PI()/4*(B8/1000)^2</f>
        <v/>
      </c>
      <c r="D8" s="7" t="inlineStr">
        <is>
          <t>18 - 28 m/s (ahsap tozu tasima)</t>
        </is>
      </c>
    </row>
    <row r="9">
      <c r="A9" s="5" t="n">
        <v>5</v>
      </c>
      <c r="B9" s="10" t="n">
        <v>140</v>
      </c>
      <c r="C9" s="11">
        <f>PI()/4*(B9/1000)^2</f>
        <v/>
      </c>
      <c r="D9" s="5" t="inlineStr">
        <is>
          <t>18 - 28 m/s (ahsap tozu tasima)</t>
        </is>
      </c>
    </row>
    <row r="10">
      <c r="A10" s="7" t="n">
        <v>6</v>
      </c>
      <c r="B10" s="12" t="n">
        <v>150</v>
      </c>
      <c r="C10" s="13">
        <f>PI()/4*(B10/1000)^2</f>
        <v/>
      </c>
      <c r="D10" s="7" t="inlineStr">
        <is>
          <t>18 - 28 m/s (ahsap tozu tasima)</t>
        </is>
      </c>
    </row>
    <row r="11">
      <c r="A11" s="5" t="n">
        <v>7</v>
      </c>
      <c r="B11" s="10" t="n">
        <v>160</v>
      </c>
      <c r="C11" s="11">
        <f>PI()/4*(B11/1000)^2</f>
        <v/>
      </c>
      <c r="D11" s="5" t="inlineStr">
        <is>
          <t>18 - 28 m/s (ahsap tozu tasima)</t>
        </is>
      </c>
    </row>
    <row r="12">
      <c r="A12" s="7" t="n">
        <v>8</v>
      </c>
      <c r="B12" s="12" t="n">
        <v>180</v>
      </c>
      <c r="C12" s="13">
        <f>PI()/4*(B12/1000)^2</f>
        <v/>
      </c>
      <c r="D12" s="7" t="inlineStr">
        <is>
          <t>18 - 28 m/s (ahsap tozu tasima)</t>
        </is>
      </c>
    </row>
    <row r="13">
      <c r="A13" s="5" t="n">
        <v>9</v>
      </c>
      <c r="B13" s="10" t="n">
        <v>200</v>
      </c>
      <c r="C13" s="11">
        <f>PI()/4*(B13/1000)^2</f>
        <v/>
      </c>
      <c r="D13" s="5" t="inlineStr">
        <is>
          <t>18 - 28 m/s (ahsap tozu tasima)</t>
        </is>
      </c>
    </row>
    <row r="14">
      <c r="A14" s="7" t="n">
        <v>10</v>
      </c>
      <c r="B14" s="12" t="n">
        <v>220</v>
      </c>
      <c r="C14" s="13">
        <f>PI()/4*(B14/1000)^2</f>
        <v/>
      </c>
      <c r="D14" s="7" t="inlineStr">
        <is>
          <t>18 - 28 m/s (ahsap tozu tasima)</t>
        </is>
      </c>
    </row>
    <row r="15">
      <c r="A15" s="5" t="n">
        <v>11</v>
      </c>
      <c r="B15" s="10" t="n">
        <v>250</v>
      </c>
      <c r="C15" s="11">
        <f>PI()/4*(B15/1000)^2</f>
        <v/>
      </c>
      <c r="D15" s="5" t="inlineStr">
        <is>
          <t>18 - 28 m/s (ahsap tozu tasima)</t>
        </is>
      </c>
    </row>
    <row r="16">
      <c r="A16" s="7" t="n">
        <v>12</v>
      </c>
      <c r="B16" s="12" t="n">
        <v>280</v>
      </c>
      <c r="C16" s="13">
        <f>PI()/4*(B16/1000)^2</f>
        <v/>
      </c>
      <c r="D16" s="7" t="inlineStr">
        <is>
          <t>18 - 28 m/s (ahsap tozu tasima)</t>
        </is>
      </c>
    </row>
    <row r="17">
      <c r="A17" s="5" t="n">
        <v>13</v>
      </c>
      <c r="B17" s="10" t="n">
        <v>300</v>
      </c>
      <c r="C17" s="11">
        <f>PI()/4*(B17/1000)^2</f>
        <v/>
      </c>
      <c r="D17" s="5" t="inlineStr">
        <is>
          <t>18 - 28 m/s (ahsap tozu tasima)</t>
        </is>
      </c>
    </row>
    <row r="18">
      <c r="A18" s="7" t="n">
        <v>14</v>
      </c>
      <c r="B18" s="12" t="n">
        <v>315</v>
      </c>
      <c r="C18" s="13">
        <f>PI()/4*(B18/1000)^2</f>
        <v/>
      </c>
      <c r="D18" s="7" t="inlineStr">
        <is>
          <t>18 - 28 m/s (ahsap tozu tasima)</t>
        </is>
      </c>
    </row>
    <row r="19">
      <c r="A19" s="5" t="n">
        <v>15</v>
      </c>
      <c r="B19" s="10" t="n">
        <v>350</v>
      </c>
      <c r="C19" s="11">
        <f>PI()/4*(B19/1000)^2</f>
        <v/>
      </c>
      <c r="D19" s="5" t="inlineStr">
        <is>
          <t>18 - 28 m/s (ahsap tozu tasima)</t>
        </is>
      </c>
    </row>
    <row r="20">
      <c r="A20" s="7" t="n">
        <v>16</v>
      </c>
      <c r="B20" s="12" t="n">
        <v>400</v>
      </c>
      <c r="C20" s="13">
        <f>PI()/4*(B20/1000)^2</f>
        <v/>
      </c>
      <c r="D20" s="7" t="inlineStr">
        <is>
          <t>18 - 28 m/s (ahsap tozu tasima)</t>
        </is>
      </c>
    </row>
    <row r="21">
      <c r="A21" s="5" t="n">
        <v>17</v>
      </c>
      <c r="B21" s="10" t="n">
        <v>450</v>
      </c>
      <c r="C21" s="11">
        <f>PI()/4*(B21/1000)^2</f>
        <v/>
      </c>
      <c r="D21" s="5" t="inlineStr">
        <is>
          <t>18 - 28 m/s (ahsap tozu tasima)</t>
        </is>
      </c>
    </row>
    <row r="22">
      <c r="A22" s="7" t="n">
        <v>18</v>
      </c>
      <c r="B22" s="12" t="n">
        <v>500</v>
      </c>
      <c r="C22" s="13">
        <f>PI()/4*(B22/1000)^2</f>
        <v/>
      </c>
      <c r="D22" s="7" t="inlineStr">
        <is>
          <t>18 - 28 m/s (ahsap tozu tasima)</t>
        </is>
      </c>
    </row>
    <row r="23">
      <c r="A23" s="5" t="n">
        <v>19</v>
      </c>
      <c r="B23" s="10" t="n">
        <v>560</v>
      </c>
      <c r="C23" s="11">
        <f>PI()/4*(B23/1000)^2</f>
        <v/>
      </c>
      <c r="D23" s="5" t="inlineStr">
        <is>
          <t>18 - 28 m/s (ahsap tozu tasima)</t>
        </is>
      </c>
    </row>
    <row r="24">
      <c r="A24" s="7" t="n">
        <v>20</v>
      </c>
      <c r="B24" s="12" t="n">
        <v>600</v>
      </c>
      <c r="C24" s="13">
        <f>PI()/4*(B24/1000)^2</f>
        <v/>
      </c>
      <c r="D24" s="7" t="inlineStr">
        <is>
          <t>18 - 28 m/s (ahsap tozu tasima)</t>
        </is>
      </c>
    </row>
    <row r="25">
      <c r="A25" s="5" t="n">
        <v>21</v>
      </c>
      <c r="B25" s="10" t="n">
        <v>630</v>
      </c>
      <c r="C25" s="11">
        <f>PI()/4*(B25/1000)^2</f>
        <v/>
      </c>
      <c r="D25" s="5" t="inlineStr">
        <is>
          <t>18 - 28 m/s (ahsap tozu tasima)</t>
        </is>
      </c>
    </row>
    <row r="26">
      <c r="A26" s="7" t="n">
        <v>22</v>
      </c>
      <c r="B26" s="12" t="n">
        <v>710</v>
      </c>
      <c r="C26" s="13">
        <f>PI()/4*(B26/1000)^2</f>
        <v/>
      </c>
      <c r="D26" s="7" t="inlineStr">
        <is>
          <t>18 - 28 m/s (ahsap tozu tasima)</t>
        </is>
      </c>
    </row>
    <row r="27">
      <c r="A27" s="5" t="n">
        <v>23</v>
      </c>
      <c r="B27" s="10" t="n">
        <v>800</v>
      </c>
      <c r="C27" s="11">
        <f>PI()/4*(B27/1000)^2</f>
        <v/>
      </c>
      <c r="D27" s="5" t="inlineStr">
        <is>
          <t>18 - 28 m/s (ahsap tozu tasima)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zoomScale="10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" customWidth="1" min="3" max="3"/>
    <col width="30" customWidth="1" min="4" max="4"/>
    <col width="20" customWidth="1" min="5" max="5"/>
  </cols>
  <sheetData>
    <row r="1" ht="26" customHeight="1">
      <c r="A1" s="1" t="inlineStr">
        <is>
          <t>FILTRE SECIMI</t>
        </is>
      </c>
      <c r="B1" s="2" t="n"/>
      <c r="C1" s="2" t="n"/>
      <c r="D1" s="2" t="n"/>
      <c r="E1" s="2" t="n"/>
    </row>
    <row r="3">
      <c r="A3" s="23" t="inlineStr">
        <is>
          <t>SISTEM GEREKSINIMI</t>
        </is>
      </c>
      <c r="B3" s="24" t="n"/>
    </row>
    <row r="4">
      <c r="A4" s="14" t="inlineStr">
        <is>
          <t>Toplam Hava Debisi (m3/h)</t>
        </is>
      </c>
      <c r="B4" s="19">
        <f>'Borulama Hesaplari'!E4</f>
        <v/>
      </c>
    </row>
    <row r="5">
      <c r="A5" s="14" t="inlineStr">
        <is>
          <t>Uygun Minimum Filtre Debisi (m3/h)</t>
        </is>
      </c>
      <c r="B5" s="19">
        <f>MIN(_xlfn._xlws.FILTER('Urun Veritabani'!$E$5:$E$44,('Urun Veritabani'!$C$5:$C$44="Filtre")*('Urun Veritabani'!$E$5:$E$44&gt;=B4),999999999))</f>
        <v/>
      </c>
    </row>
    <row r="6">
      <c r="A6" s="14" t="inlineStr">
        <is>
          <t>Uygun Filtre Bulundu mu?</t>
        </is>
      </c>
      <c r="B6" s="69">
        <f>IF(B5&gt;=999999999,"HAYIR - Veritabanini genisletin","EVET")</f>
        <v/>
      </c>
    </row>
    <row r="8">
      <c r="A8" s="23" t="inlineStr">
        <is>
          <t>SECILEN FILTRE OZELLIKLERI</t>
        </is>
      </c>
      <c r="B8" s="24" t="n"/>
    </row>
    <row r="9">
      <c r="A9" s="14" t="inlineStr">
        <is>
          <t>Marka</t>
        </is>
      </c>
      <c r="B9" s="69">
        <f>_xlfn.XLOOKUP(1,('Urun Veritabani'!$C$5:$C$44="Filtre")*('Urun Veritabani'!$E$5:$E$44=B5),'Urun Veritabani'!$A$5:$A$44)</f>
        <v/>
      </c>
    </row>
    <row r="10">
      <c r="A10" s="14" t="inlineStr">
        <is>
          <t>Filtre Modeli (Urun Kodu)</t>
        </is>
      </c>
      <c r="B10" s="69">
        <f>_xlfn.XLOOKUP(1,('Urun Veritabani'!$C$5:$C$44="Filtre")*('Urun Veritabani'!$E$5:$E$44=B5),'Urun Veritabani'!$B$5:$B$44)</f>
        <v/>
      </c>
    </row>
    <row r="11">
      <c r="A11" s="14" t="inlineStr">
        <is>
          <t>Nominal Debi (m3/h)</t>
        </is>
      </c>
      <c r="B11" s="19">
        <f>B5</f>
        <v/>
      </c>
    </row>
    <row r="12">
      <c r="A12" s="14" t="inlineStr">
        <is>
          <t>Filtre Alani (m2)</t>
        </is>
      </c>
      <c r="B12" s="30">
        <f>_xlfn.XLOOKUP(1,('Urun Veritabani'!$C$5:$C$44="Filtre")*('Urun Veritabani'!$E$5:$E$44=B5),'Urun Veritabani'!$H$5:$H$44)</f>
        <v/>
      </c>
    </row>
    <row r="13">
      <c r="A13" s="14" t="inlineStr">
        <is>
          <t>Fan Gucu (kW)</t>
        </is>
      </c>
      <c r="B13" s="30">
        <f>_xlfn.XLOOKUP(1,('Urun Veritabani'!$C$5:$C$44="Filtre")*('Urun Veritabani'!$E$5:$E$44=B5),'Urun Veritabani'!$G$5:$G$44)</f>
        <v/>
      </c>
    </row>
    <row r="14">
      <c r="A14" s="14" t="inlineStr">
        <is>
          <t>Hava Tanki Hacmi (m3)</t>
        </is>
      </c>
      <c r="B14" s="30">
        <f>_xlfn.XLOOKUP(1,('Urun Veritabani'!$C$5:$C$44="Filtre")*('Urun Veritabani'!$E$5:$E$44=B5),'Urun Veritabani'!$K$5:$K$44)</f>
        <v/>
      </c>
    </row>
    <row r="15">
      <c r="A15" s="14" t="inlineStr">
        <is>
          <t>Temizlik Sistemi</t>
        </is>
      </c>
      <c r="B15" s="20">
        <f>_xlfn.XLOOKUP(1,('Urun Veritabani'!$C$5:$C$44="Filtre")*('Urun Veritabani'!$E$5:$E$44=B5),'Urun Veritabani'!$L$5:$L$44)</f>
        <v/>
      </c>
    </row>
    <row r="16">
      <c r="A16" s="14" t="inlineStr">
        <is>
          <t>Aciklama</t>
        </is>
      </c>
      <c r="B16" s="20">
        <f>_xlfn.XLOOKUP(1,('Urun Veritabani'!$C$5:$C$44="Filtre")*('Urun Veritabani'!$E$5:$E$44=B5),'Urun Veritabani'!$M$5:$M$44)</f>
        <v/>
      </c>
    </row>
    <row r="18">
      <c r="A18" s="23" t="inlineStr">
        <is>
          <t>MUHENDISLIK KONTROLU - FILTRE YUZEY HIZI (Air-to-Cloth Ratio)</t>
        </is>
      </c>
      <c r="B18" s="24" t="n"/>
    </row>
    <row r="19">
      <c r="A19" s="14" t="inlineStr">
        <is>
          <t>Filtre Yuzey Hizi (m/s) = (Debi/3600)/Alan</t>
        </is>
      </c>
      <c r="B19" s="28">
        <f>(B5/3600)/B12</f>
        <v/>
      </c>
    </row>
    <row r="20">
      <c r="A20" s="14" t="inlineStr">
        <is>
          <t>Kontrol (Tavsiye: 0.020 - 0.045 m/s)</t>
        </is>
      </c>
      <c r="B20" s="70">
        <f>IF(B19&lt;0.02,"Filtre alani fazla buyuk (verimsiz)",IF(B19&gt;0.045,"UYARI: Filtre alani yetersiz olabilir","Uygun"))</f>
        <v/>
      </c>
    </row>
    <row r="23">
      <c r="A23" s="14" t="inlineStr">
        <is>
          <t>Filtre Basinc Kaybi (Pa) [Fan secimine eklenir]</t>
        </is>
      </c>
      <c r="B23" s="19">
        <f>_xlfn.XLOOKUP(1,('Urun Veritabani'!$C$5:$C$44="Filtre")*('Urun Veritabani'!$E$5:$E$44=B5),'Urun Veritabani'!$F$5:$F$44)</f>
        <v/>
      </c>
    </row>
  </sheetData>
  <mergeCells count="4">
    <mergeCell ref="A18:B18"/>
    <mergeCell ref="A3:B3"/>
    <mergeCell ref="A8:B8"/>
    <mergeCell ref="A1:E1"/>
  </mergeCells>
  <conditionalFormatting sqref="B20">
    <cfRule type="expression" priority="1" dxfId="0">
      <formula>ISNUMBER(SEARCH("UYARI",B20))</formula>
    </cfRule>
    <cfRule type="expression" priority="2" dxfId="1">
      <formula>B20="Uygun"</formula>
    </cfRule>
  </conditionalFormatting>
  <conditionalFormatting sqref="B6">
    <cfRule type="expression" priority="3" dxfId="0">
      <formula>ISNUMBER(SEARCH("HAYIR",B6))</formula>
    </cfRule>
    <cfRule type="expression" priority="4" dxfId="1">
      <formula>B6="EVET"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"/>
  <sheetViews>
    <sheetView zoomScale="10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" customWidth="1" min="3" max="3"/>
    <col width="30" customWidth="1" min="4" max="4"/>
    <col width="20" customWidth="1" min="5" max="5"/>
  </cols>
  <sheetData>
    <row r="1" ht="26" customHeight="1">
      <c r="A1" s="1" t="inlineStr">
        <is>
          <t>FAN SECIMI</t>
        </is>
      </c>
      <c r="B1" s="2" t="n"/>
      <c r="C1" s="2" t="n"/>
      <c r="D1" s="2" t="n"/>
      <c r="E1" s="2" t="n"/>
    </row>
    <row r="3">
      <c r="A3" s="23" t="inlineStr">
        <is>
          <t>SISTEM GEREKSINIMI</t>
        </is>
      </c>
      <c r="B3" s="24" t="n"/>
    </row>
    <row r="4">
      <c r="A4" s="14" t="inlineStr">
        <is>
          <t>Toplam Hava Debisi (m3/h)</t>
        </is>
      </c>
      <c r="B4" s="19">
        <f>'Borulama Hesaplari'!E4</f>
        <v/>
      </c>
    </row>
    <row r="5">
      <c r="A5" s="14" t="inlineStr">
        <is>
          <t>Borulama Basinc Kaybi (Pa)</t>
        </is>
      </c>
      <c r="B5" s="19">
        <f>'Borulama Hesaplari'!E19</f>
        <v/>
      </c>
    </row>
    <row r="6">
      <c r="A6" s="14" t="inlineStr">
        <is>
          <t>Filtre Basinc Kaybi (Pa)</t>
        </is>
      </c>
      <c r="B6" s="19">
        <f>'Filtre Secimi'!B23</f>
        <v/>
      </c>
    </row>
    <row r="7">
      <c r="A7" s="14" t="inlineStr">
        <is>
          <t>TOPLAM SISTEM BASINCI (Fan Secimi Icin) (Pa)</t>
        </is>
      </c>
      <c r="B7" s="71">
        <f>B5+B6</f>
        <v/>
      </c>
    </row>
    <row r="9">
      <c r="A9" s="14" t="inlineStr">
        <is>
          <t>Uygun Minimum Fan Debisi (m3/h)</t>
        </is>
      </c>
      <c r="B9" s="19">
        <f>MIN(_xlfn._xlws.FILTER('Urun Veritabani'!$E$5:$E$44,('Urun Veritabani'!$C$5:$C$44="Fan")*('Urun Veritabani'!$E$5:$E$44&gt;=B4)*('Urun Veritabani'!$F$5:$F$44&gt;=B7),999999999))</f>
        <v/>
      </c>
    </row>
    <row r="10">
      <c r="A10" s="14" t="inlineStr">
        <is>
          <t>Uygun Fan Bulundu mu?</t>
        </is>
      </c>
      <c r="B10" s="69">
        <f>IF(B9&gt;=999999999,"HAYIR - Veritabanini genisletin","EVET")</f>
        <v/>
      </c>
    </row>
    <row r="12">
      <c r="A12" s="23" t="inlineStr">
        <is>
          <t>SECILEN FAN OZELLIKLERI</t>
        </is>
      </c>
      <c r="B12" s="24" t="n"/>
    </row>
    <row r="13">
      <c r="A13" s="14" t="inlineStr">
        <is>
          <t>Marka</t>
        </is>
      </c>
      <c r="B13" s="69">
        <f>_xlfn.XLOOKUP(1,('Urun Veritabani'!$C$5:$C$44="Fan")*('Urun Veritabani'!$E$5:$E$44=B9)*('Urun Veritabani'!$F$5:$F$44&gt;=B7),'Urun Veritabani'!$A$5:$A$44)</f>
        <v/>
      </c>
    </row>
    <row r="14">
      <c r="A14" s="14" t="inlineStr">
        <is>
          <t>Fan Modeli (Urun Kodu)</t>
        </is>
      </c>
      <c r="B14" s="69">
        <f>_xlfn.XLOOKUP(1,('Urun Veritabani'!$C$5:$C$44="Fan")*('Urun Veritabani'!$E$5:$E$44=B9)*('Urun Veritabani'!$F$5:$F$44&gt;=B7),'Urun Veritabani'!$B$5:$B$44)</f>
        <v/>
      </c>
    </row>
    <row r="15">
      <c r="A15" s="14" t="inlineStr">
        <is>
          <t>Cap (mm)</t>
        </is>
      </c>
      <c r="B15" s="19">
        <f>_xlfn.XLOOKUP(1,('Urun Veritabani'!$C$5:$C$44="Fan")*('Urun Veritabani'!$E$5:$E$44=B9)*('Urun Veritabani'!$F$5:$F$44&gt;=B7),'Urun Veritabani'!$D$5:$D$44)</f>
        <v/>
      </c>
    </row>
    <row r="16">
      <c r="A16" s="14" t="inlineStr">
        <is>
          <t>Nominal Debi (m3/h)</t>
        </is>
      </c>
      <c r="B16" s="19">
        <f>B9</f>
        <v/>
      </c>
    </row>
    <row r="17">
      <c r="A17" s="14" t="inlineStr">
        <is>
          <t>Basinc Kapasitesi (Pa)</t>
        </is>
      </c>
      <c r="B17" s="19">
        <f>_xlfn.XLOOKUP(1,('Urun Veritabani'!$C$5:$C$44="Fan")*('Urun Veritabani'!$E$5:$E$44=B9)*('Urun Veritabani'!$F$5:$F$44&gt;=B7),'Urun Veritabani'!$F$5:$F$44)</f>
        <v/>
      </c>
    </row>
    <row r="18">
      <c r="A18" s="14" t="inlineStr">
        <is>
          <t>Veritabani Motor Gucu (kW)</t>
        </is>
      </c>
      <c r="B18" s="30">
        <f>_xlfn.XLOOKUP(1,('Urun Veritabani'!$C$5:$C$44="Fan")*('Urun Veritabani'!$E$5:$E$44=B9)*('Urun Veritabani'!$F$5:$F$44&gt;=B7),'Urun Veritabani'!$G$5:$G$44)</f>
        <v/>
      </c>
    </row>
    <row r="19">
      <c r="A19" s="14" t="inlineStr">
        <is>
          <t>Fan Devri (rpm)</t>
        </is>
      </c>
      <c r="B19" s="19">
        <f>_xlfn.XLOOKUP(1,('Urun Veritabani'!$C$5:$C$44="Fan")*('Urun Veritabani'!$E$5:$E$44=B9)*('Urun Veritabani'!$F$5:$F$44&gt;=B7),'Urun Veritabani'!$I$5:$I$44)</f>
        <v/>
      </c>
    </row>
    <row r="20">
      <c r="A20" s="14" t="inlineStr">
        <is>
          <t>Fan Verimi (%)</t>
        </is>
      </c>
      <c r="B20" s="19">
        <f>_xlfn.XLOOKUP(1,('Urun Veritabani'!$C$5:$C$44="Fan")*('Urun Veritabani'!$E$5:$E$44=B9)*('Urun Veritabani'!$F$5:$F$44&gt;=B7),'Urun Veritabani'!$J$5:$J$44)</f>
        <v/>
      </c>
    </row>
    <row r="22">
      <c r="A22" s="23" t="inlineStr">
        <is>
          <t>TEORIK MOTOR GUCU HESABI VE KONTROL</t>
        </is>
      </c>
      <c r="B22" s="24" t="n"/>
    </row>
    <row r="23">
      <c r="A23" s="14" t="inlineStr">
        <is>
          <t>Teorik Motor Gucu (kW) = Q[m3/s] x dP[Pa] / (1000 x Verim)</t>
        </is>
      </c>
      <c r="B23" s="33">
        <f>(B4/3600)*B7/(1000*(B20/100))</f>
        <v/>
      </c>
    </row>
    <row r="24">
      <c r="A24" s="14" t="inlineStr">
        <is>
          <t>Kontrol (Teorik &lt;= Veritabani Motoru x 1.1)</t>
        </is>
      </c>
      <c r="B24" s="72">
        <f>IF(B23&gt;B18*1.1,"UYARI: Motor gucu yetersiz olabilir","Uygun")</f>
        <v/>
      </c>
    </row>
    <row r="26">
      <c r="A26" s="23" t="inlineStr">
        <is>
          <t>ENERJI TUKETIMI</t>
        </is>
      </c>
      <c r="B26" s="24" t="n"/>
    </row>
    <row r="27">
      <c r="A27" s="14" t="inlineStr">
        <is>
          <t>Sistem Calisma Suresi (saat/gun)</t>
        </is>
      </c>
      <c r="B27" s="18" t="n">
        <v>8</v>
      </c>
    </row>
    <row r="28">
      <c r="A28" s="14" t="inlineStr">
        <is>
          <t>Yillik Calisma Gunu (gun/yil)</t>
        </is>
      </c>
      <c r="B28" s="18" t="n">
        <v>250</v>
      </c>
    </row>
    <row r="29">
      <c r="A29" s="14" t="inlineStr">
        <is>
          <t>Motor Gucu (kW) [Kullanilan]</t>
        </is>
      </c>
      <c r="B29" s="31">
        <f>MAX(B23,B18)</f>
        <v/>
      </c>
    </row>
    <row r="30">
      <c r="A30" s="14" t="inlineStr">
        <is>
          <t>Enerji Tuketimi (kWh/gun)</t>
        </is>
      </c>
      <c r="B30" s="30">
        <f>B29*B27</f>
        <v/>
      </c>
    </row>
    <row r="31">
      <c r="A31" s="14" t="inlineStr">
        <is>
          <t>Enerji Tuketimi (kWh/yil)</t>
        </is>
      </c>
      <c r="B31" s="19">
        <f>B30*B28</f>
        <v/>
      </c>
    </row>
  </sheetData>
  <mergeCells count="5">
    <mergeCell ref="A26:B26"/>
    <mergeCell ref="A1:E1"/>
    <mergeCell ref="A3:B3"/>
    <mergeCell ref="A22:B22"/>
    <mergeCell ref="A12:B12"/>
  </mergeCells>
  <conditionalFormatting sqref="B24">
    <cfRule type="expression" priority="1" dxfId="0">
      <formula>ISNUMBER(SEARCH("UYARI",B24))</formula>
    </cfRule>
    <cfRule type="expression" priority="2" dxfId="1">
      <formula>B24="Uygun"</formula>
    </cfRule>
  </conditionalFormatting>
  <conditionalFormatting sqref="B10">
    <cfRule type="expression" priority="3" dxfId="0">
      <formula>ISNUMBER(SEARCH("HAYIR",B10))</formula>
    </cfRule>
    <cfRule type="expression" priority="4" dxfId="1">
      <formula>B10="EVET"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6" customWidth="1" min="3" max="3"/>
    <col width="10" customWidth="1" min="4" max="4"/>
    <col width="12" customWidth="1" min="5" max="5"/>
    <col width="12" customWidth="1" min="6" max="6"/>
    <col width="13" customWidth="1" min="7" max="7"/>
    <col width="13" customWidth="1" min="8" max="8"/>
    <col width="12" customWidth="1" min="9" max="9"/>
    <col width="12" customWidth="1" min="10" max="10"/>
    <col width="14" customWidth="1" min="11" max="11"/>
    <col width="22" customWidth="1" min="12" max="12"/>
    <col width="30" customWidth="1" min="13" max="13"/>
  </cols>
  <sheetData>
    <row r="1" ht="26" customHeight="1">
      <c r="A1" s="1" t="inlineStr">
        <is>
          <t>URUN VERITABANI  -  SMT Europe / Siloma / Saf Teknik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30" customHeight="1">
      <c r="A2" s="3" t="inlineStr">
        <is>
          <t>NOT: Asagidaki teknik degerler (debi, basinc, guc, alan) ilgili marka model serileri esas alinarak muhendislik tahmini olarak olusturulmustur. Kataloglarin genel urun sayfalarinda detayli teknik deger (m3/h, Pa, kW) yayinlanmadigindan, kesin teklif oncesi SMT Europe / Siloma / Saf Teknik yetkili satis/teknik servisinden guncel datasheet degerleri ile bu tablo dogrulanmalidir.</t>
        </is>
      </c>
    </row>
    <row r="4" ht="32" customHeight="1">
      <c r="A4" s="4" t="inlineStr">
        <is>
          <t>Marka</t>
        </is>
      </c>
      <c r="B4" s="4" t="inlineStr">
        <is>
          <t>Urun Kodu</t>
        </is>
      </c>
      <c r="C4" s="4" t="inlineStr">
        <is>
          <t>Urun Tipi</t>
        </is>
      </c>
      <c r="D4" s="4" t="inlineStr">
        <is>
          <t>Cap (mm)</t>
        </is>
      </c>
      <c r="E4" s="4" t="inlineStr">
        <is>
          <t>Debi (m3/h)</t>
        </is>
      </c>
      <c r="F4" s="4" t="inlineStr">
        <is>
          <t>Basinc (Pa)</t>
        </is>
      </c>
      <c r="G4" s="4" t="inlineStr">
        <is>
          <t>Motor Gucu (kW)</t>
        </is>
      </c>
      <c r="H4" s="4" t="inlineStr">
        <is>
          <t>Filtre Alani (m2)</t>
        </is>
      </c>
      <c r="I4" s="4" t="inlineStr">
        <is>
          <t>Fan Devri (rpm)</t>
        </is>
      </c>
      <c r="J4" s="4" t="inlineStr">
        <is>
          <t>Fan Verimi (%)</t>
        </is>
      </c>
      <c r="K4" s="4" t="inlineStr">
        <is>
          <t>Hava Tanki Hacmi (m3)</t>
        </is>
      </c>
      <c r="L4" s="4" t="inlineStr">
        <is>
          <t>Temizlik Sistemi</t>
        </is>
      </c>
      <c r="M4" s="4" t="inlineStr">
        <is>
          <t>Aciklama</t>
        </is>
      </c>
    </row>
    <row r="5">
      <c r="A5" s="5" t="inlineStr">
        <is>
          <t>Saf Teknik</t>
        </is>
      </c>
      <c r="B5" s="5" t="inlineStr">
        <is>
          <t>SF-312</t>
        </is>
      </c>
      <c r="C5" s="5" t="inlineStr">
        <is>
          <t>Filtre</t>
        </is>
      </c>
      <c r="D5" s="5" t="n"/>
      <c r="E5" s="6" t="n">
        <v>3000</v>
      </c>
      <c r="F5" s="6" t="n">
        <v>1444</v>
      </c>
      <c r="G5" s="6" t="n">
        <v>2.2</v>
      </c>
      <c r="H5" s="6" t="n">
        <v>33.3</v>
      </c>
      <c r="I5" s="6" t="n"/>
      <c r="J5" s="6" t="n"/>
      <c r="K5" s="6" t="n">
        <v>0</v>
      </c>
      <c r="L5" s="5" t="inlineStr">
        <is>
          <t>Mekanik Sarsma</t>
        </is>
      </c>
      <c r="M5" s="5" t="inlineStr">
        <is>
          <t>SF-312 torba/kartus filtre unitesi - mekanik sarsma temizlikli</t>
        </is>
      </c>
    </row>
    <row r="6">
      <c r="A6" s="7" t="inlineStr">
        <is>
          <t>Saf Teknik</t>
        </is>
      </c>
      <c r="B6" s="7" t="inlineStr">
        <is>
          <t>SF-315</t>
        </is>
      </c>
      <c r="C6" s="7" t="inlineStr">
        <is>
          <t>Filtre</t>
        </is>
      </c>
      <c r="D6" s="7" t="n"/>
      <c r="E6" s="8" t="n">
        <v>4500</v>
      </c>
      <c r="F6" s="8" t="n">
        <v>1465</v>
      </c>
      <c r="G6" s="8" t="n">
        <v>4</v>
      </c>
      <c r="H6" s="8" t="n">
        <v>50</v>
      </c>
      <c r="I6" s="8" t="n"/>
      <c r="J6" s="8" t="n"/>
      <c r="K6" s="8" t="n">
        <v>0</v>
      </c>
      <c r="L6" s="7" t="inlineStr">
        <is>
          <t>Mekanik Sarsma</t>
        </is>
      </c>
      <c r="M6" s="7" t="inlineStr">
        <is>
          <t>SF-315 torba/kartus filtre unitesi - mekanik sarsma temizlikli</t>
        </is>
      </c>
    </row>
    <row r="7">
      <c r="A7" s="5" t="inlineStr">
        <is>
          <t>Saf Teknik</t>
        </is>
      </c>
      <c r="B7" s="5" t="inlineStr">
        <is>
          <t>SF-318</t>
        </is>
      </c>
      <c r="C7" s="5" t="inlineStr">
        <is>
          <t>Filtre</t>
        </is>
      </c>
      <c r="D7" s="5" t="n"/>
      <c r="E7" s="6" t="n">
        <v>6000</v>
      </c>
      <c r="F7" s="6" t="n">
        <v>1487</v>
      </c>
      <c r="G7" s="6" t="n">
        <v>5.5</v>
      </c>
      <c r="H7" s="6" t="n">
        <v>66.7</v>
      </c>
      <c r="I7" s="6" t="n"/>
      <c r="J7" s="6" t="n"/>
      <c r="K7" s="6" t="n">
        <v>0</v>
      </c>
      <c r="L7" s="5" t="inlineStr">
        <is>
          <t>Mekanik Sarsma</t>
        </is>
      </c>
      <c r="M7" s="5" t="inlineStr">
        <is>
          <t>SF-318 torba/kartus filtre unitesi - mekanik sarsma temizlikli</t>
        </is>
      </c>
    </row>
    <row r="8">
      <c r="A8" s="7" t="inlineStr">
        <is>
          <t>Saf Teknik</t>
        </is>
      </c>
      <c r="B8" s="7" t="inlineStr">
        <is>
          <t>SF-321</t>
        </is>
      </c>
      <c r="C8" s="7" t="inlineStr">
        <is>
          <t>Filtre</t>
        </is>
      </c>
      <c r="D8" s="7" t="n"/>
      <c r="E8" s="8" t="n">
        <v>8000</v>
      </c>
      <c r="F8" s="8" t="n">
        <v>1516</v>
      </c>
      <c r="G8" s="8" t="n">
        <v>7.5</v>
      </c>
      <c r="H8" s="8" t="n">
        <v>88.90000000000001</v>
      </c>
      <c r="I8" s="8" t="n"/>
      <c r="J8" s="8" t="n"/>
      <c r="K8" s="8" t="n">
        <v>0</v>
      </c>
      <c r="L8" s="7" t="inlineStr">
        <is>
          <t>Mekanik Sarsma</t>
        </is>
      </c>
      <c r="M8" s="7" t="inlineStr">
        <is>
          <t>SF-321 torba/kartus filtre unitesi - mekanik sarsma temizlikli</t>
        </is>
      </c>
    </row>
    <row r="9">
      <c r="A9" s="5" t="inlineStr">
        <is>
          <t>Saf Teknik</t>
        </is>
      </c>
      <c r="B9" s="5" t="inlineStr">
        <is>
          <t>SF-324</t>
        </is>
      </c>
      <c r="C9" s="5" t="inlineStr">
        <is>
          <t>Filtre</t>
        </is>
      </c>
      <c r="D9" s="5" t="n"/>
      <c r="E9" s="6" t="n">
        <v>10000</v>
      </c>
      <c r="F9" s="6" t="n">
        <v>1545</v>
      </c>
      <c r="G9" s="6" t="n">
        <v>7.5</v>
      </c>
      <c r="H9" s="6" t="n">
        <v>111.1</v>
      </c>
      <c r="I9" s="6" t="n"/>
      <c r="J9" s="6" t="n"/>
      <c r="K9" s="6" t="n">
        <v>0</v>
      </c>
      <c r="L9" s="5" t="inlineStr">
        <is>
          <t>Mekanik Sarsma</t>
        </is>
      </c>
      <c r="M9" s="5" t="inlineStr">
        <is>
          <t>SF-324 torba/kartus filtre unitesi - mekanik sarsma temizlikli</t>
        </is>
      </c>
    </row>
    <row r="10">
      <c r="A10" s="7" t="inlineStr">
        <is>
          <t>Saf Teknik</t>
        </is>
      </c>
      <c r="B10" s="7" t="inlineStr">
        <is>
          <t>KP-12</t>
        </is>
      </c>
      <c r="C10" s="7" t="inlineStr">
        <is>
          <t>Filtre</t>
        </is>
      </c>
      <c r="D10" s="7" t="n"/>
      <c r="E10" s="8" t="n">
        <v>1200</v>
      </c>
      <c r="F10" s="8" t="n">
        <v>1417</v>
      </c>
      <c r="G10" s="8" t="n">
        <v>1.1</v>
      </c>
      <c r="H10" s="8" t="n">
        <v>13.3</v>
      </c>
      <c r="I10" s="8" t="n"/>
      <c r="J10" s="8" t="n"/>
      <c r="K10" s="8" t="n">
        <v>0</v>
      </c>
      <c r="L10" s="7" t="inlineStr">
        <is>
          <t>Mekanik Sarsma</t>
        </is>
      </c>
      <c r="M10" s="7" t="inlineStr">
        <is>
          <t>KP-12 torba/kartus filtre unitesi - mekanik sarsma temizlikli</t>
        </is>
      </c>
    </row>
    <row r="11">
      <c r="A11" s="5" t="inlineStr">
        <is>
          <t>Saf Teknik</t>
        </is>
      </c>
      <c r="B11" s="5" t="inlineStr">
        <is>
          <t>KP-20</t>
        </is>
      </c>
      <c r="C11" s="5" t="inlineStr">
        <is>
          <t>Filtre</t>
        </is>
      </c>
      <c r="D11" s="5" t="n"/>
      <c r="E11" s="6" t="n">
        <v>2000</v>
      </c>
      <c r="F11" s="6" t="n">
        <v>1429</v>
      </c>
      <c r="G11" s="6" t="n">
        <v>1.5</v>
      </c>
      <c r="H11" s="6" t="n">
        <v>22.2</v>
      </c>
      <c r="I11" s="6" t="n"/>
      <c r="J11" s="6" t="n"/>
      <c r="K11" s="6" t="n">
        <v>0</v>
      </c>
      <c r="L11" s="5" t="inlineStr">
        <is>
          <t>Mekanik Sarsma</t>
        </is>
      </c>
      <c r="M11" s="5" t="inlineStr">
        <is>
          <t>KP-20 torba/kartus filtre unitesi - mekanik sarsma temizlikli</t>
        </is>
      </c>
    </row>
    <row r="12">
      <c r="A12" s="7" t="inlineStr">
        <is>
          <t>Saf Teknik</t>
        </is>
      </c>
      <c r="B12" s="7" t="inlineStr">
        <is>
          <t>KP-30</t>
        </is>
      </c>
      <c r="C12" s="7" t="inlineStr">
        <is>
          <t>Filtre</t>
        </is>
      </c>
      <c r="D12" s="7" t="n"/>
      <c r="E12" s="8" t="n">
        <v>3000</v>
      </c>
      <c r="F12" s="8" t="n">
        <v>1444</v>
      </c>
      <c r="G12" s="8" t="n">
        <v>2.2</v>
      </c>
      <c r="H12" s="8" t="n">
        <v>33.3</v>
      </c>
      <c r="I12" s="8" t="n"/>
      <c r="J12" s="8" t="n"/>
      <c r="K12" s="8" t="n">
        <v>0</v>
      </c>
      <c r="L12" s="7" t="inlineStr">
        <is>
          <t>Mekanik Sarsma</t>
        </is>
      </c>
      <c r="M12" s="7" t="inlineStr">
        <is>
          <t>KP-30 torba/kartus filtre unitesi - mekanik sarsma temizlikli</t>
        </is>
      </c>
    </row>
    <row r="13">
      <c r="A13" s="5" t="inlineStr">
        <is>
          <t>Saf Teknik</t>
        </is>
      </c>
      <c r="B13" s="5" t="inlineStr">
        <is>
          <t>KP-40</t>
        </is>
      </c>
      <c r="C13" s="5" t="inlineStr">
        <is>
          <t>Filtre</t>
        </is>
      </c>
      <c r="D13" s="5" t="n"/>
      <c r="E13" s="6" t="n">
        <v>4000</v>
      </c>
      <c r="F13" s="6" t="n">
        <v>1458</v>
      </c>
      <c r="G13" s="6" t="n">
        <v>3</v>
      </c>
      <c r="H13" s="6" t="n">
        <v>44.4</v>
      </c>
      <c r="I13" s="6" t="n"/>
      <c r="J13" s="6" t="n"/>
      <c r="K13" s="6" t="n">
        <v>0</v>
      </c>
      <c r="L13" s="5" t="inlineStr">
        <is>
          <t>Mekanik Sarsma</t>
        </is>
      </c>
      <c r="M13" s="5" t="inlineStr">
        <is>
          <t>KP-40 torba/kartus filtre unitesi - mekanik sarsma temizlikli</t>
        </is>
      </c>
    </row>
    <row r="14">
      <c r="A14" s="7" t="inlineStr">
        <is>
          <t>Saf Teknik</t>
        </is>
      </c>
      <c r="B14" s="7" t="inlineStr">
        <is>
          <t>KP-50</t>
        </is>
      </c>
      <c r="C14" s="7" t="inlineStr">
        <is>
          <t>Filtre</t>
        </is>
      </c>
      <c r="D14" s="7" t="n"/>
      <c r="E14" s="8" t="n">
        <v>5000</v>
      </c>
      <c r="F14" s="8" t="n">
        <v>1473</v>
      </c>
      <c r="G14" s="8" t="n">
        <v>4</v>
      </c>
      <c r="H14" s="8" t="n">
        <v>55.6</v>
      </c>
      <c r="I14" s="8" t="n"/>
      <c r="J14" s="8" t="n"/>
      <c r="K14" s="8" t="n">
        <v>0</v>
      </c>
      <c r="L14" s="7" t="inlineStr">
        <is>
          <t>Mekanik Sarsma</t>
        </is>
      </c>
      <c r="M14" s="7" t="inlineStr">
        <is>
          <t>KP-50 torba/kartus filtre unitesi - mekanik sarsma temizlikli</t>
        </is>
      </c>
    </row>
    <row r="15">
      <c r="A15" s="5" t="inlineStr">
        <is>
          <t>Saf Teknik</t>
        </is>
      </c>
      <c r="B15" s="5" t="inlineStr">
        <is>
          <t>KP-60</t>
        </is>
      </c>
      <c r="C15" s="5" t="inlineStr">
        <is>
          <t>Filtre</t>
        </is>
      </c>
      <c r="D15" s="5" t="n"/>
      <c r="E15" s="6" t="n">
        <v>6000</v>
      </c>
      <c r="F15" s="6" t="n">
        <v>1487</v>
      </c>
      <c r="G15" s="6" t="n">
        <v>5.5</v>
      </c>
      <c r="H15" s="6" t="n">
        <v>66.7</v>
      </c>
      <c r="I15" s="6" t="n"/>
      <c r="J15" s="6" t="n"/>
      <c r="K15" s="6" t="n">
        <v>0</v>
      </c>
      <c r="L15" s="5" t="inlineStr">
        <is>
          <t>Mekanik Sarsma</t>
        </is>
      </c>
      <c r="M15" s="5" t="inlineStr">
        <is>
          <t>KP-60 torba/kartus filtre unitesi - mekanik sarsma temizlikli</t>
        </is>
      </c>
    </row>
    <row r="16">
      <c r="A16" s="7" t="inlineStr">
        <is>
          <t>Saf Teknik</t>
        </is>
      </c>
      <c r="B16" s="7" t="inlineStr">
        <is>
          <t>BB-1521</t>
        </is>
      </c>
      <c r="C16" s="7" t="inlineStr">
        <is>
          <t>Filtre</t>
        </is>
      </c>
      <c r="D16" s="7" t="n"/>
      <c r="E16" s="8" t="n">
        <v>15000</v>
      </c>
      <c r="F16" s="8" t="n">
        <v>1618</v>
      </c>
      <c r="G16" s="8" t="n">
        <v>15</v>
      </c>
      <c r="H16" s="8" t="n">
        <v>109.6</v>
      </c>
      <c r="I16" s="8" t="n"/>
      <c r="J16" s="8" t="n"/>
      <c r="K16" s="8" t="n">
        <v>0.7</v>
      </c>
      <c r="L16" s="7" t="inlineStr">
        <is>
          <t>Jet Pulse (Basincli Hava)</t>
        </is>
      </c>
      <c r="M16" s="7" t="inlineStr">
        <is>
          <t>BB-1521 torba/kartus filtre unitesi - jet pulse (basincli hava) temizlikli</t>
        </is>
      </c>
    </row>
    <row r="17">
      <c r="A17" s="5" t="inlineStr">
        <is>
          <t>Saf Teknik</t>
        </is>
      </c>
      <c r="B17" s="5" t="inlineStr">
        <is>
          <t>BB-1524</t>
        </is>
      </c>
      <c r="C17" s="5" t="inlineStr">
        <is>
          <t>Filtre</t>
        </is>
      </c>
      <c r="D17" s="5" t="n"/>
      <c r="E17" s="6" t="n">
        <v>20000</v>
      </c>
      <c r="F17" s="6" t="n">
        <v>1691</v>
      </c>
      <c r="G17" s="6" t="n">
        <v>18.5</v>
      </c>
      <c r="H17" s="6" t="n">
        <v>146.2</v>
      </c>
      <c r="I17" s="6" t="n"/>
      <c r="J17" s="6" t="n"/>
      <c r="K17" s="6" t="n">
        <v>0.8</v>
      </c>
      <c r="L17" s="5" t="inlineStr">
        <is>
          <t>Jet Pulse (Basincli Hava)</t>
        </is>
      </c>
      <c r="M17" s="5" t="inlineStr">
        <is>
          <t>BB-1524 torba/kartus filtre unitesi - jet pulse (basincli hava) temizlikli</t>
        </is>
      </c>
    </row>
    <row r="18">
      <c r="A18" s="7" t="inlineStr">
        <is>
          <t>Saf Teknik</t>
        </is>
      </c>
      <c r="B18" s="7" t="inlineStr">
        <is>
          <t>BB-1526</t>
        </is>
      </c>
      <c r="C18" s="7" t="inlineStr">
        <is>
          <t>Filtre</t>
        </is>
      </c>
      <c r="D18" s="7" t="n"/>
      <c r="E18" s="8" t="n">
        <v>26000</v>
      </c>
      <c r="F18" s="8" t="n">
        <v>1778</v>
      </c>
      <c r="G18" s="8" t="n">
        <v>22</v>
      </c>
      <c r="H18" s="8" t="n">
        <v>190.1</v>
      </c>
      <c r="I18" s="8" t="n"/>
      <c r="J18" s="8" t="n"/>
      <c r="K18" s="8" t="n">
        <v>0.9</v>
      </c>
      <c r="L18" s="7" t="inlineStr">
        <is>
          <t>Jet Pulse (Basincli Hava)</t>
        </is>
      </c>
      <c r="M18" s="7" t="inlineStr">
        <is>
          <t>BB-1526 torba/kartus filtre unitesi - jet pulse (basincli hava) temizlikli</t>
        </is>
      </c>
    </row>
    <row r="19">
      <c r="A19" s="5" t="inlineStr">
        <is>
          <t>Siloma</t>
        </is>
      </c>
      <c r="B19" s="5" t="inlineStr">
        <is>
          <t>SPE-30000</t>
        </is>
      </c>
      <c r="C19" s="5" t="inlineStr">
        <is>
          <t>Filtre</t>
        </is>
      </c>
      <c r="D19" s="5" t="n"/>
      <c r="E19" s="6" t="n">
        <v>30000</v>
      </c>
      <c r="F19" s="6" t="n">
        <v>1836</v>
      </c>
      <c r="G19" s="6" t="n">
        <v>30</v>
      </c>
      <c r="H19" s="6" t="n">
        <v>219.3</v>
      </c>
      <c r="I19" s="6" t="n"/>
      <c r="J19" s="6" t="n"/>
      <c r="K19" s="6" t="n">
        <v>1.1</v>
      </c>
      <c r="L19" s="5" t="inlineStr">
        <is>
          <t>Jet Pulse (Basincli Hava)</t>
        </is>
      </c>
      <c r="M19" s="5" t="inlineStr">
        <is>
          <t>SPE-30000 torba/kartus filtre unitesi - jet pulse (basincli hava) temizlikli</t>
        </is>
      </c>
    </row>
    <row r="20">
      <c r="A20" s="7" t="inlineStr">
        <is>
          <t>Siloma</t>
        </is>
      </c>
      <c r="B20" s="7" t="inlineStr">
        <is>
          <t>SPE-40000</t>
        </is>
      </c>
      <c r="C20" s="7" t="inlineStr">
        <is>
          <t>Filtre</t>
        </is>
      </c>
      <c r="D20" s="7" t="n"/>
      <c r="E20" s="8" t="n">
        <v>40000</v>
      </c>
      <c r="F20" s="8" t="n">
        <v>1982</v>
      </c>
      <c r="G20" s="8" t="n">
        <v>37</v>
      </c>
      <c r="H20" s="8" t="n">
        <v>292.4</v>
      </c>
      <c r="I20" s="8" t="n"/>
      <c r="J20" s="8" t="n"/>
      <c r="K20" s="8" t="n">
        <v>1.3</v>
      </c>
      <c r="L20" s="7" t="inlineStr">
        <is>
          <t>Jet Pulse (Basincli Hava)</t>
        </is>
      </c>
      <c r="M20" s="7" t="inlineStr">
        <is>
          <t>SPE-40000 torba/kartus filtre unitesi - jet pulse (basincli hava) temizlikli</t>
        </is>
      </c>
    </row>
    <row r="21">
      <c r="A21" s="5" t="inlineStr">
        <is>
          <t>Siloma</t>
        </is>
      </c>
      <c r="B21" s="5" t="inlineStr">
        <is>
          <t>SPE-55000</t>
        </is>
      </c>
      <c r="C21" s="5" t="inlineStr">
        <is>
          <t>Filtre</t>
        </is>
      </c>
      <c r="D21" s="5" t="n"/>
      <c r="E21" s="6" t="n">
        <v>55000</v>
      </c>
      <c r="F21" s="6" t="n">
        <v>2200</v>
      </c>
      <c r="G21" s="6" t="n">
        <v>75</v>
      </c>
      <c r="H21" s="6" t="n">
        <v>402</v>
      </c>
      <c r="I21" s="6" t="n"/>
      <c r="J21" s="6" t="n"/>
      <c r="K21" s="6" t="n">
        <v>1.7</v>
      </c>
      <c r="L21" s="5" t="inlineStr">
        <is>
          <t>Jet Pulse (Basincli Hava)</t>
        </is>
      </c>
      <c r="M21" s="5" t="inlineStr">
        <is>
          <t>SPE-55000 torba/kartus filtre unitesi - jet pulse (basincli hava) temizlikli</t>
        </is>
      </c>
    </row>
    <row r="22">
      <c r="A22" s="7" t="inlineStr">
        <is>
          <t>SMT Europe</t>
        </is>
      </c>
      <c r="B22" s="7" t="inlineStr">
        <is>
          <t>SNF-10</t>
        </is>
      </c>
      <c r="C22" s="7" t="inlineStr">
        <is>
          <t>Filtre</t>
        </is>
      </c>
      <c r="D22" s="7" t="n"/>
      <c r="E22" s="8" t="n">
        <v>4000</v>
      </c>
      <c r="F22" s="8" t="n">
        <v>1458</v>
      </c>
      <c r="G22" s="8" t="n">
        <v>3</v>
      </c>
      <c r="H22" s="8" t="n">
        <v>37</v>
      </c>
      <c r="I22" s="8" t="n"/>
      <c r="J22" s="8" t="n"/>
      <c r="K22" s="8" t="n">
        <v>0</v>
      </c>
      <c r="L22" s="7" t="inlineStr">
        <is>
          <t>Titresimli (Vibrasyon)</t>
        </is>
      </c>
      <c r="M22" s="7" t="inlineStr">
        <is>
          <t>SNF-10 torba/kartus filtre unitesi - titresimli (vibrasyon) temizlikli</t>
        </is>
      </c>
    </row>
    <row r="23">
      <c r="A23" s="5" t="inlineStr">
        <is>
          <t>SMT Europe</t>
        </is>
      </c>
      <c r="B23" s="5" t="inlineStr">
        <is>
          <t>MS-15</t>
        </is>
      </c>
      <c r="C23" s="5" t="inlineStr">
        <is>
          <t>Filtre</t>
        </is>
      </c>
      <c r="D23" s="5" t="n"/>
      <c r="E23" s="6" t="n">
        <v>5000</v>
      </c>
      <c r="F23" s="6" t="n">
        <v>1473</v>
      </c>
      <c r="G23" s="6" t="n">
        <v>4</v>
      </c>
      <c r="H23" s="6" t="n">
        <v>46.3</v>
      </c>
      <c r="I23" s="6" t="n"/>
      <c r="J23" s="6" t="n"/>
      <c r="K23" s="6" t="n">
        <v>0</v>
      </c>
      <c r="L23" s="5" t="inlineStr">
        <is>
          <t>Titresimli (Vibrasyon)</t>
        </is>
      </c>
      <c r="M23" s="5" t="inlineStr">
        <is>
          <t>MS-15 torba/kartus filtre unitesi - titresimli (vibrasyon) temizlikli</t>
        </is>
      </c>
    </row>
    <row r="24">
      <c r="A24" s="7" t="inlineStr">
        <is>
          <t>SMT Europe</t>
        </is>
      </c>
      <c r="B24" s="7" t="inlineStr">
        <is>
          <t>MS-25</t>
        </is>
      </c>
      <c r="C24" s="7" t="inlineStr">
        <is>
          <t>Filtre</t>
        </is>
      </c>
      <c r="D24" s="7" t="n"/>
      <c r="E24" s="8" t="n">
        <v>8000</v>
      </c>
      <c r="F24" s="8" t="n">
        <v>1516</v>
      </c>
      <c r="G24" s="8" t="n">
        <v>7.5</v>
      </c>
      <c r="H24" s="8" t="n">
        <v>74.09999999999999</v>
      </c>
      <c r="I24" s="8" t="n"/>
      <c r="J24" s="8" t="n"/>
      <c r="K24" s="8" t="n">
        <v>0</v>
      </c>
      <c r="L24" s="7" t="inlineStr">
        <is>
          <t>Titresimli (Vibrasyon)</t>
        </is>
      </c>
      <c r="M24" s="7" t="inlineStr">
        <is>
          <t>MS-25 torba/kartus filtre unitesi - titresimli (vibrasyon) temizlikli</t>
        </is>
      </c>
    </row>
    <row r="25">
      <c r="A25" s="5" t="inlineStr">
        <is>
          <t>SMT Europe</t>
        </is>
      </c>
      <c r="B25" s="5" t="inlineStr">
        <is>
          <t>MSP-20</t>
        </is>
      </c>
      <c r="C25" s="5" t="inlineStr">
        <is>
          <t>Filtre</t>
        </is>
      </c>
      <c r="D25" s="5" t="n"/>
      <c r="E25" s="6" t="n">
        <v>7000</v>
      </c>
      <c r="F25" s="6" t="n">
        <v>1502</v>
      </c>
      <c r="G25" s="6" t="n">
        <v>5.5</v>
      </c>
      <c r="H25" s="6" t="n">
        <v>51.2</v>
      </c>
      <c r="I25" s="6" t="n"/>
      <c r="J25" s="6" t="n"/>
      <c r="K25" s="6" t="n">
        <v>0.5</v>
      </c>
      <c r="L25" s="5" t="inlineStr">
        <is>
          <t>Jet Pulse (Basincli Hava)</t>
        </is>
      </c>
      <c r="M25" s="5" t="inlineStr">
        <is>
          <t>MSP-20 torba/kartus filtre unitesi - jet pulse (basincli hava) temizlikli</t>
        </is>
      </c>
    </row>
    <row r="26">
      <c r="A26" s="7" t="inlineStr">
        <is>
          <t>SMT Europe</t>
        </is>
      </c>
      <c r="B26" s="7" t="inlineStr">
        <is>
          <t>MSP-35</t>
        </is>
      </c>
      <c r="C26" s="7" t="inlineStr">
        <is>
          <t>Filtre</t>
        </is>
      </c>
      <c r="D26" s="7" t="n"/>
      <c r="E26" s="8" t="n">
        <v>12000</v>
      </c>
      <c r="F26" s="8" t="n">
        <v>1575</v>
      </c>
      <c r="G26" s="8" t="n">
        <v>11</v>
      </c>
      <c r="H26" s="8" t="n">
        <v>87.7</v>
      </c>
      <c r="I26" s="8" t="n"/>
      <c r="J26" s="8" t="n"/>
      <c r="K26" s="8" t="n">
        <v>0.6</v>
      </c>
      <c r="L26" s="7" t="inlineStr">
        <is>
          <t>Jet Pulse (Basincli Hava)</t>
        </is>
      </c>
      <c r="M26" s="7" t="inlineStr">
        <is>
          <t>MSP-35 torba/kartus filtre unitesi - jet pulse (basincli hava) temizlikli</t>
        </is>
      </c>
    </row>
    <row r="27">
      <c r="A27" s="5" t="inlineStr">
        <is>
          <t>SMT Europe</t>
        </is>
      </c>
      <c r="B27" s="5" t="inlineStr">
        <is>
          <t>SWF-30</t>
        </is>
      </c>
      <c r="C27" s="5" t="inlineStr">
        <is>
          <t>Filtre</t>
        </is>
      </c>
      <c r="D27" s="5" t="n"/>
      <c r="E27" s="6" t="n">
        <v>10000</v>
      </c>
      <c r="F27" s="6" t="n">
        <v>1545</v>
      </c>
      <c r="G27" s="6" t="n">
        <v>7.5</v>
      </c>
      <c r="H27" s="6" t="n">
        <v>73.09999999999999</v>
      </c>
      <c r="I27" s="6" t="n"/>
      <c r="J27" s="6" t="n"/>
      <c r="K27" s="6" t="n">
        <v>0.6</v>
      </c>
      <c r="L27" s="5" t="inlineStr">
        <is>
          <t>Jet Pulse (Basincli Hava)</t>
        </is>
      </c>
      <c r="M27" s="5" t="inlineStr">
        <is>
          <t>SWF-30 torba/kartus filtre unitesi - jet pulse (basincli hava) temizlikli</t>
        </is>
      </c>
    </row>
    <row r="28">
      <c r="A28" s="7" t="inlineStr">
        <is>
          <t>Saf Teknik</t>
        </is>
      </c>
      <c r="B28" s="7" t="inlineStr">
        <is>
          <t>SF-213</t>
        </is>
      </c>
      <c r="C28" s="7" t="inlineStr">
        <is>
          <t>Fan</t>
        </is>
      </c>
      <c r="D28" s="7" t="n">
        <v>190</v>
      </c>
      <c r="E28" s="8" t="n">
        <v>2000</v>
      </c>
      <c r="F28" s="8" t="n">
        <v>1551</v>
      </c>
      <c r="G28" s="8" t="n">
        <v>1.5</v>
      </c>
      <c r="H28" s="8" t="n"/>
      <c r="I28" s="8" t="n">
        <v>2900</v>
      </c>
      <c r="J28" s="8" t="n">
        <v>66</v>
      </c>
      <c r="K28" s="8" t="n"/>
      <c r="L28" s="7" t="inlineStr">
        <is>
          <t>-</t>
        </is>
      </c>
      <c r="M28" s="7" t="inlineStr">
        <is>
          <t>SF-213 radyal (santrifuj) transfer fani</t>
        </is>
      </c>
    </row>
    <row r="29">
      <c r="A29" s="5" t="inlineStr">
        <is>
          <t>Saf Teknik</t>
        </is>
      </c>
      <c r="B29" s="5" t="inlineStr">
        <is>
          <t>SF-214</t>
        </is>
      </c>
      <c r="C29" s="5" t="inlineStr">
        <is>
          <t>Fan</t>
        </is>
      </c>
      <c r="D29" s="5" t="n">
        <v>230</v>
      </c>
      <c r="E29" s="6" t="n">
        <v>3000</v>
      </c>
      <c r="F29" s="6" t="n">
        <v>1577</v>
      </c>
      <c r="G29" s="6" t="n">
        <v>2.2</v>
      </c>
      <c r="H29" s="6" t="n"/>
      <c r="I29" s="6" t="n">
        <v>2900</v>
      </c>
      <c r="J29" s="6" t="n">
        <v>66</v>
      </c>
      <c r="K29" s="6" t="n"/>
      <c r="L29" s="5" t="inlineStr">
        <is>
          <t>-</t>
        </is>
      </c>
      <c r="M29" s="5" t="inlineStr">
        <is>
          <t>SF-214 radyal (santrifuj) transfer fani</t>
        </is>
      </c>
    </row>
    <row r="30">
      <c r="A30" s="7" t="inlineStr">
        <is>
          <t>Saf Teknik</t>
        </is>
      </c>
      <c r="B30" s="7" t="inlineStr">
        <is>
          <t>SF-215</t>
        </is>
      </c>
      <c r="C30" s="7" t="inlineStr">
        <is>
          <t>Fan</t>
        </is>
      </c>
      <c r="D30" s="7" t="n">
        <v>270</v>
      </c>
      <c r="E30" s="8" t="n">
        <v>4000</v>
      </c>
      <c r="F30" s="8" t="n">
        <v>1603</v>
      </c>
      <c r="G30" s="8" t="n">
        <v>3</v>
      </c>
      <c r="H30" s="8" t="n"/>
      <c r="I30" s="8" t="n">
        <v>2900</v>
      </c>
      <c r="J30" s="8" t="n">
        <v>66</v>
      </c>
      <c r="K30" s="8" t="n"/>
      <c r="L30" s="7" t="inlineStr">
        <is>
          <t>-</t>
        </is>
      </c>
      <c r="M30" s="7" t="inlineStr">
        <is>
          <t>SF-215 radyal (santrifuj) transfer fani</t>
        </is>
      </c>
    </row>
    <row r="31">
      <c r="A31" s="5" t="inlineStr">
        <is>
          <t>Saf Teknik</t>
        </is>
      </c>
      <c r="B31" s="5" t="inlineStr">
        <is>
          <t>SF-216</t>
        </is>
      </c>
      <c r="C31" s="5" t="inlineStr">
        <is>
          <t>Fan</t>
        </is>
      </c>
      <c r="D31" s="5" t="n">
        <v>310</v>
      </c>
      <c r="E31" s="6" t="n">
        <v>5500</v>
      </c>
      <c r="F31" s="6" t="n">
        <v>1641</v>
      </c>
      <c r="G31" s="6" t="n">
        <v>4</v>
      </c>
      <c r="H31" s="6" t="n"/>
      <c r="I31" s="6" t="n">
        <v>2900</v>
      </c>
      <c r="J31" s="6" t="n">
        <v>66</v>
      </c>
      <c r="K31" s="6" t="n"/>
      <c r="L31" s="5" t="inlineStr">
        <is>
          <t>-</t>
        </is>
      </c>
      <c r="M31" s="5" t="inlineStr">
        <is>
          <t>SF-216 radyal (santrifuj) transfer fani</t>
        </is>
      </c>
    </row>
    <row r="32">
      <c r="A32" s="7" t="inlineStr">
        <is>
          <t>Saf Teknik</t>
        </is>
      </c>
      <c r="B32" s="7" t="inlineStr">
        <is>
          <t>SF-217</t>
        </is>
      </c>
      <c r="C32" s="7" t="inlineStr">
        <is>
          <t>Fan</t>
        </is>
      </c>
      <c r="D32" s="7" t="n">
        <v>350</v>
      </c>
      <c r="E32" s="8" t="n">
        <v>7000</v>
      </c>
      <c r="F32" s="8" t="n">
        <v>1680</v>
      </c>
      <c r="G32" s="8" t="n">
        <v>5.5</v>
      </c>
      <c r="H32" s="8" t="n"/>
      <c r="I32" s="8" t="n">
        <v>2900</v>
      </c>
      <c r="J32" s="8" t="n">
        <v>67</v>
      </c>
      <c r="K32" s="8" t="n"/>
      <c r="L32" s="7" t="inlineStr">
        <is>
          <t>-</t>
        </is>
      </c>
      <c r="M32" s="7" t="inlineStr">
        <is>
          <t>SF-217 radyal (santrifuj) transfer fani</t>
        </is>
      </c>
    </row>
    <row r="33">
      <c r="A33" s="5" t="inlineStr">
        <is>
          <t>Saf Teknik</t>
        </is>
      </c>
      <c r="B33" s="5" t="inlineStr">
        <is>
          <t>SF-218</t>
        </is>
      </c>
      <c r="C33" s="5" t="inlineStr">
        <is>
          <t>Fan</t>
        </is>
      </c>
      <c r="D33" s="5" t="n">
        <v>400</v>
      </c>
      <c r="E33" s="6" t="n">
        <v>9000</v>
      </c>
      <c r="F33" s="6" t="n">
        <v>1731</v>
      </c>
      <c r="G33" s="6" t="n">
        <v>7.5</v>
      </c>
      <c r="H33" s="6" t="n"/>
      <c r="I33" s="6" t="n">
        <v>1450</v>
      </c>
      <c r="J33" s="6" t="n">
        <v>67</v>
      </c>
      <c r="K33" s="6" t="n"/>
      <c r="L33" s="5" t="inlineStr">
        <is>
          <t>-</t>
        </is>
      </c>
      <c r="M33" s="5" t="inlineStr">
        <is>
          <t>SF-218 radyal (santrifuj) transfer fani</t>
        </is>
      </c>
    </row>
    <row r="34">
      <c r="A34" s="7" t="inlineStr">
        <is>
          <t>Saf Teknik</t>
        </is>
      </c>
      <c r="B34" s="7" t="inlineStr">
        <is>
          <t>SF-219</t>
        </is>
      </c>
      <c r="C34" s="7" t="inlineStr">
        <is>
          <t>Fan</t>
        </is>
      </c>
      <c r="D34" s="7" t="n">
        <v>460</v>
      </c>
      <c r="E34" s="8" t="n">
        <v>12000</v>
      </c>
      <c r="F34" s="8" t="n">
        <v>1809</v>
      </c>
      <c r="G34" s="8" t="n">
        <v>11</v>
      </c>
      <c r="H34" s="8" t="n"/>
      <c r="I34" s="8" t="n">
        <v>1450</v>
      </c>
      <c r="J34" s="8" t="n">
        <v>68</v>
      </c>
      <c r="K34" s="8" t="n"/>
      <c r="L34" s="7" t="inlineStr">
        <is>
          <t>-</t>
        </is>
      </c>
      <c r="M34" s="7" t="inlineStr">
        <is>
          <t>SF-219 radyal (santrifuj) transfer fani</t>
        </is>
      </c>
    </row>
    <row r="35">
      <c r="A35" s="5" t="inlineStr">
        <is>
          <t>Saf Teknik</t>
        </is>
      </c>
      <c r="B35" s="5" t="inlineStr">
        <is>
          <t>SF-2110</t>
        </is>
      </c>
      <c r="C35" s="5" t="inlineStr">
        <is>
          <t>Fan</t>
        </is>
      </c>
      <c r="D35" s="5" t="n">
        <v>530</v>
      </c>
      <c r="E35" s="6" t="n">
        <v>16000</v>
      </c>
      <c r="F35" s="6" t="n">
        <v>1911</v>
      </c>
      <c r="G35" s="6" t="n">
        <v>15</v>
      </c>
      <c r="H35" s="6" t="n"/>
      <c r="I35" s="6" t="n">
        <v>1450</v>
      </c>
      <c r="J35" s="6" t="n">
        <v>69</v>
      </c>
      <c r="K35" s="6" t="n"/>
      <c r="L35" s="5" t="inlineStr">
        <is>
          <t>-</t>
        </is>
      </c>
      <c r="M35" s="5" t="inlineStr">
        <is>
          <t>SF-2110 radyal (santrifuj) transfer fani</t>
        </is>
      </c>
    </row>
    <row r="36">
      <c r="A36" s="7" t="inlineStr">
        <is>
          <t>Saf Teknik</t>
        </is>
      </c>
      <c r="B36" s="7" t="inlineStr">
        <is>
          <t>SF-2111</t>
        </is>
      </c>
      <c r="C36" s="7" t="inlineStr">
        <is>
          <t>Fan</t>
        </is>
      </c>
      <c r="D36" s="7" t="n">
        <v>590</v>
      </c>
      <c r="E36" s="8" t="n">
        <v>20000</v>
      </c>
      <c r="F36" s="8" t="n">
        <v>2014</v>
      </c>
      <c r="G36" s="8" t="n">
        <v>18.5</v>
      </c>
      <c r="H36" s="8" t="n"/>
      <c r="I36" s="8" t="n">
        <v>1450</v>
      </c>
      <c r="J36" s="8" t="n">
        <v>70</v>
      </c>
      <c r="K36" s="8" t="n"/>
      <c r="L36" s="7" t="inlineStr">
        <is>
          <t>-</t>
        </is>
      </c>
      <c r="M36" s="7" t="inlineStr">
        <is>
          <t>SF-2111 radyal (santrifuj) transfer fani</t>
        </is>
      </c>
    </row>
    <row r="37">
      <c r="A37" s="5" t="inlineStr">
        <is>
          <t>Saf Teknik</t>
        </is>
      </c>
      <c r="B37" s="5" t="inlineStr">
        <is>
          <t>SF-2112</t>
        </is>
      </c>
      <c r="C37" s="5" t="inlineStr">
        <is>
          <t>Fan</t>
        </is>
      </c>
      <c r="D37" s="5" t="n">
        <v>680</v>
      </c>
      <c r="E37" s="6" t="n">
        <v>26000</v>
      </c>
      <c r="F37" s="6" t="n">
        <v>2169</v>
      </c>
      <c r="G37" s="6" t="n">
        <v>22</v>
      </c>
      <c r="H37" s="6" t="n"/>
      <c r="I37" s="6" t="n">
        <v>1450</v>
      </c>
      <c r="J37" s="6" t="n">
        <v>72</v>
      </c>
      <c r="K37" s="6" t="n"/>
      <c r="L37" s="5" t="inlineStr">
        <is>
          <t>-</t>
        </is>
      </c>
      <c r="M37" s="5" t="inlineStr">
        <is>
          <t>SF-2112 radyal (santrifuj) transfer fani</t>
        </is>
      </c>
    </row>
    <row r="38">
      <c r="A38" s="7" t="inlineStr">
        <is>
          <t>Siloma</t>
        </is>
      </c>
      <c r="B38" s="7" t="inlineStr">
        <is>
          <t>STF-218</t>
        </is>
      </c>
      <c r="C38" s="7" t="inlineStr">
        <is>
          <t>Fan</t>
        </is>
      </c>
      <c r="D38" s="7" t="n">
        <v>400</v>
      </c>
      <c r="E38" s="8" t="n">
        <v>9000</v>
      </c>
      <c r="F38" s="8" t="n">
        <v>1731</v>
      </c>
      <c r="G38" s="8" t="n">
        <v>7.5</v>
      </c>
      <c r="H38" s="8" t="n"/>
      <c r="I38" s="8" t="n">
        <v>1450</v>
      </c>
      <c r="J38" s="8" t="n">
        <v>67</v>
      </c>
      <c r="K38" s="8" t="n"/>
      <c r="L38" s="7" t="inlineStr">
        <is>
          <t>-</t>
        </is>
      </c>
      <c r="M38" s="7" t="inlineStr">
        <is>
          <t>STF-218 radyal (santrifuj) transfer fani</t>
        </is>
      </c>
    </row>
    <row r="39">
      <c r="A39" s="5" t="inlineStr">
        <is>
          <t>Siloma</t>
        </is>
      </c>
      <c r="B39" s="5" t="inlineStr">
        <is>
          <t>STF-2110</t>
        </is>
      </c>
      <c r="C39" s="5" t="inlineStr">
        <is>
          <t>Fan</t>
        </is>
      </c>
      <c r="D39" s="5" t="n">
        <v>530</v>
      </c>
      <c r="E39" s="6" t="n">
        <v>16000</v>
      </c>
      <c r="F39" s="6" t="n">
        <v>1911</v>
      </c>
      <c r="G39" s="6" t="n">
        <v>15</v>
      </c>
      <c r="H39" s="6" t="n"/>
      <c r="I39" s="6" t="n">
        <v>1450</v>
      </c>
      <c r="J39" s="6" t="n">
        <v>69</v>
      </c>
      <c r="K39" s="6" t="n"/>
      <c r="L39" s="5" t="inlineStr">
        <is>
          <t>-</t>
        </is>
      </c>
      <c r="M39" s="5" t="inlineStr">
        <is>
          <t>STF-2110 radyal (santrifuj) transfer fani</t>
        </is>
      </c>
    </row>
    <row r="40">
      <c r="A40" s="7" t="inlineStr">
        <is>
          <t>Siloma</t>
        </is>
      </c>
      <c r="B40" s="7" t="inlineStr">
        <is>
          <t>STF-2112</t>
        </is>
      </c>
      <c r="C40" s="7" t="inlineStr">
        <is>
          <t>Fan</t>
        </is>
      </c>
      <c r="D40" s="7" t="n">
        <v>680</v>
      </c>
      <c r="E40" s="8" t="n">
        <v>26000</v>
      </c>
      <c r="F40" s="8" t="n">
        <v>2169</v>
      </c>
      <c r="G40" s="8" t="n">
        <v>22</v>
      </c>
      <c r="H40" s="8" t="n"/>
      <c r="I40" s="8" t="n">
        <v>1450</v>
      </c>
      <c r="J40" s="8" t="n">
        <v>72</v>
      </c>
      <c r="K40" s="8" t="n"/>
      <c r="L40" s="7" t="inlineStr">
        <is>
          <t>-</t>
        </is>
      </c>
      <c r="M40" s="7" t="inlineStr">
        <is>
          <t>STF-2112 radyal (santrifuj) transfer fani</t>
        </is>
      </c>
    </row>
    <row r="41">
      <c r="A41" s="5" t="inlineStr">
        <is>
          <t>Siloma</t>
        </is>
      </c>
      <c r="B41" s="5" t="inlineStr">
        <is>
          <t>STF-2115</t>
        </is>
      </c>
      <c r="C41" s="5" t="inlineStr">
        <is>
          <t>Fan</t>
        </is>
      </c>
      <c r="D41" s="5" t="n">
        <v>790</v>
      </c>
      <c r="E41" s="6" t="n">
        <v>35000</v>
      </c>
      <c r="F41" s="6" t="n">
        <v>2400</v>
      </c>
      <c r="G41" s="6" t="n">
        <v>37</v>
      </c>
      <c r="H41" s="6" t="n"/>
      <c r="I41" s="6" t="n">
        <v>1450</v>
      </c>
      <c r="J41" s="6" t="n">
        <v>74</v>
      </c>
      <c r="K41" s="6" t="n"/>
      <c r="L41" s="5" t="inlineStr">
        <is>
          <t>-</t>
        </is>
      </c>
      <c r="M41" s="5" t="inlineStr">
        <is>
          <t>STF-2115 radyal (santrifuj) transfer fani</t>
        </is>
      </c>
    </row>
    <row r="42">
      <c r="A42" s="7" t="inlineStr">
        <is>
          <t>SMT Europe</t>
        </is>
      </c>
      <c r="B42" s="7" t="inlineStr">
        <is>
          <t>SMT-TF-10</t>
        </is>
      </c>
      <c r="C42" s="7" t="inlineStr">
        <is>
          <t>Fan</t>
        </is>
      </c>
      <c r="D42" s="7" t="n">
        <v>300</v>
      </c>
      <c r="E42" s="8" t="n">
        <v>5000</v>
      </c>
      <c r="F42" s="8" t="n">
        <v>1629</v>
      </c>
      <c r="G42" s="8" t="n">
        <v>4</v>
      </c>
      <c r="H42" s="8" t="n"/>
      <c r="I42" s="8" t="n">
        <v>2900</v>
      </c>
      <c r="J42" s="8" t="n">
        <v>66</v>
      </c>
      <c r="K42" s="8" t="n"/>
      <c r="L42" s="7" t="inlineStr">
        <is>
          <t>-</t>
        </is>
      </c>
      <c r="M42" s="7" t="inlineStr">
        <is>
          <t>SMT-TF-10 radyal (santrifuj) transfer fani</t>
        </is>
      </c>
    </row>
    <row r="43">
      <c r="A43" s="5" t="inlineStr">
        <is>
          <t>SMT Europe</t>
        </is>
      </c>
      <c r="B43" s="5" t="inlineStr">
        <is>
          <t>SMT-TF-20</t>
        </is>
      </c>
      <c r="C43" s="5" t="inlineStr">
        <is>
          <t>Fan</t>
        </is>
      </c>
      <c r="D43" s="5" t="n">
        <v>420</v>
      </c>
      <c r="E43" s="6" t="n">
        <v>10000</v>
      </c>
      <c r="F43" s="6" t="n">
        <v>1757</v>
      </c>
      <c r="G43" s="6" t="n">
        <v>7.5</v>
      </c>
      <c r="H43" s="6" t="n"/>
      <c r="I43" s="6" t="n">
        <v>1450</v>
      </c>
      <c r="J43" s="6" t="n">
        <v>68</v>
      </c>
      <c r="K43" s="6" t="n"/>
      <c r="L43" s="5" t="inlineStr">
        <is>
          <t>-</t>
        </is>
      </c>
      <c r="M43" s="5" t="inlineStr">
        <is>
          <t>SMT-TF-20 radyal (santrifuj) transfer fani</t>
        </is>
      </c>
    </row>
    <row r="44">
      <c r="A44" s="7" t="inlineStr">
        <is>
          <t>SMT Europe</t>
        </is>
      </c>
      <c r="B44" s="7" t="inlineStr">
        <is>
          <t>SMT-TF-30</t>
        </is>
      </c>
      <c r="C44" s="7" t="inlineStr">
        <is>
          <t>Fan</t>
        </is>
      </c>
      <c r="D44" s="7" t="n">
        <v>560</v>
      </c>
      <c r="E44" s="8" t="n">
        <v>18000</v>
      </c>
      <c r="F44" s="8" t="n">
        <v>1963</v>
      </c>
      <c r="G44" s="8" t="n">
        <v>15</v>
      </c>
      <c r="H44" s="8" t="n"/>
      <c r="I44" s="8" t="n">
        <v>1450</v>
      </c>
      <c r="J44" s="8" t="n">
        <v>70</v>
      </c>
      <c r="K44" s="8" t="n"/>
      <c r="L44" s="7" t="inlineStr">
        <is>
          <t>-</t>
        </is>
      </c>
      <c r="M44" s="7" t="inlineStr">
        <is>
          <t>SMT-TF-30 radyal (santrifuj) transfer fani</t>
        </is>
      </c>
    </row>
  </sheetData>
  <mergeCells count="2">
    <mergeCell ref="A2:M2"/>
    <mergeCell ref="A1:M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4" customWidth="1" min="3" max="3"/>
    <col width="30" customWidth="1" min="4" max="4"/>
    <col width="22" customWidth="1" min="5" max="5"/>
  </cols>
  <sheetData>
    <row r="1" ht="30" customHeight="1">
      <c r="A1" s="1" t="inlineStr">
        <is>
          <t>TOZ EMME SISTEMI - TEKLIF OZETI</t>
        </is>
      </c>
      <c r="B1" s="2" t="n"/>
      <c r="C1" s="2" t="n"/>
      <c r="D1" s="2" t="n"/>
      <c r="E1" s="2" t="n"/>
    </row>
    <row r="3">
      <c r="A3" s="23" t="inlineStr">
        <is>
          <t>MUSTERI / PROJE BILGILERI</t>
        </is>
      </c>
      <c r="B3" s="24" t="n"/>
      <c r="C3" s="24" t="n"/>
      <c r="D3" s="24" t="n"/>
      <c r="E3" s="24" t="n"/>
    </row>
    <row r="4">
      <c r="A4" s="14" t="inlineStr">
        <is>
          <t>Musteri / Firma Adi:</t>
        </is>
      </c>
      <c r="B4" s="15" t="inlineStr"/>
      <c r="D4" s="14" t="inlineStr">
        <is>
          <t>Teklif No:</t>
        </is>
      </c>
      <c r="E4" s="15" t="inlineStr"/>
    </row>
    <row r="5">
      <c r="A5" s="14" t="inlineStr">
        <is>
          <t>Proje:</t>
        </is>
      </c>
      <c r="B5" s="15">
        <f>'Makine Giris'!B2</f>
        <v/>
      </c>
      <c r="D5" s="14" t="inlineStr">
        <is>
          <t>Tarih:</t>
        </is>
      </c>
      <c r="E5" s="16">
        <f>'Makine Giris'!E2</f>
        <v/>
      </c>
    </row>
    <row r="6">
      <c r="A6" s="14" t="inlineStr">
        <is>
          <t>Hazirlayan:</t>
        </is>
      </c>
      <c r="B6" s="15">
        <f>'Makine Giris'!H2</f>
        <v/>
      </c>
    </row>
    <row r="8">
      <c r="A8" s="23" t="inlineStr">
        <is>
          <t>SISTEM OZETI</t>
        </is>
      </c>
      <c r="B8" s="24" t="n"/>
      <c r="C8" s="24" t="n"/>
      <c r="D8" s="24" t="n"/>
      <c r="E8" s="24" t="n"/>
    </row>
    <row r="9">
      <c r="A9" s="14" t="inlineStr">
        <is>
          <t>Toplam Hava Debisi (m3/h)</t>
        </is>
      </c>
      <c r="B9" s="22">
        <f>'Borulama Hesaplari'!E4</f>
        <v/>
      </c>
    </row>
    <row r="10">
      <c r="A10" s="14" t="inlineStr">
        <is>
          <t>Ana Boru Capi (mm)</t>
        </is>
      </c>
      <c r="B10" s="22">
        <f>'Borulama Hesaplari'!E8</f>
        <v/>
      </c>
    </row>
    <row r="11">
      <c r="A11" s="14" t="inlineStr">
        <is>
          <t>Gercek Hava Hizi (m/s)</t>
        </is>
      </c>
      <c r="B11" s="73">
        <f>'Borulama Hesaplari'!E10</f>
        <v/>
      </c>
    </row>
    <row r="12">
      <c r="A12" s="14" t="inlineStr">
        <is>
          <t>Toplam Sistem Basinc Kaybi (Pa)</t>
        </is>
      </c>
      <c r="B12" s="22">
        <f>'Fan Secimi'!B7</f>
        <v/>
      </c>
    </row>
    <row r="13">
      <c r="A13" s="14" t="inlineStr">
        <is>
          <t>Secilen Filtre Modeli</t>
        </is>
      </c>
      <c r="B13" s="69">
        <f>'Filtre Secimi'!B9&amp;" - "&amp;'Filtre Secimi'!B10</f>
        <v/>
      </c>
    </row>
    <row r="14">
      <c r="A14" s="14" t="inlineStr">
        <is>
          <t>Filtre Alani (m2)</t>
        </is>
      </c>
      <c r="B14" s="74">
        <f>'Filtre Secimi'!B12</f>
        <v/>
      </c>
    </row>
    <row r="15">
      <c r="A15" s="14" t="inlineStr">
        <is>
          <t>Secilen Fan Modeli</t>
        </is>
      </c>
      <c r="B15" s="69">
        <f>'Fan Secimi'!B13&amp;" - "&amp;'Fan Secimi'!B14</f>
        <v/>
      </c>
    </row>
    <row r="16">
      <c r="A16" s="14" t="inlineStr">
        <is>
          <t>Fan Motor Gucu (kW)</t>
        </is>
      </c>
      <c r="B16" s="73">
        <f>'Fan Secimi'!B29</f>
        <v/>
      </c>
    </row>
    <row r="17">
      <c r="A17" s="14" t="inlineStr">
        <is>
          <t>Tahmini Enerji Tuketimi (kWh/gun)</t>
        </is>
      </c>
      <c r="B17" s="74">
        <f>'Fan Secimi'!B30</f>
        <v/>
      </c>
    </row>
    <row r="18">
      <c r="A18" s="14" t="inlineStr">
        <is>
          <t>Tahmini Enerji Tuketimi (kWh/yil)</t>
        </is>
      </c>
      <c r="B18" s="22">
        <f>'Fan Secimi'!B31</f>
        <v/>
      </c>
    </row>
    <row r="20">
      <c r="A20" s="23" t="inlineStr">
        <is>
          <t>KULLANILAN EKIPMAN LISTESI (BOM)</t>
        </is>
      </c>
      <c r="B20" s="24" t="n"/>
      <c r="C20" s="24" t="n"/>
      <c r="D20" s="24" t="n"/>
      <c r="E20" s="24" t="n"/>
    </row>
    <row r="21" ht="32" customHeight="1">
      <c r="A21" s="4" t="inlineStr">
        <is>
          <t>No</t>
        </is>
      </c>
      <c r="B21" s="4" t="inlineStr">
        <is>
          <t>Ekipman / Kalem</t>
        </is>
      </c>
      <c r="C21" s="4" t="inlineStr">
        <is>
          <t>Ozellik</t>
        </is>
      </c>
      <c r="D21" s="4" t="inlineStr">
        <is>
          <t>Miktar</t>
        </is>
      </c>
      <c r="E21" s="4" t="inlineStr">
        <is>
          <t>Birim</t>
        </is>
      </c>
    </row>
    <row r="22">
      <c r="A22" s="75" t="n">
        <v>1</v>
      </c>
      <c r="B22" s="76" t="inlineStr">
        <is>
          <t>Ana Boru Hatti</t>
        </is>
      </c>
      <c r="C22" s="75">
        <f>'Borulama Hesaplari'!E8&amp;" mm Cap"</f>
        <v/>
      </c>
      <c r="D22" s="75">
        <f>'Borulama Hesaplari'!B4</f>
        <v/>
      </c>
      <c r="E22" s="75" t="inlineStr">
        <is>
          <t>m</t>
        </is>
      </c>
    </row>
    <row r="23">
      <c r="A23" s="77" t="n">
        <v>2</v>
      </c>
      <c r="B23" s="78" t="inlineStr">
        <is>
          <t>Bransman Hatlari</t>
        </is>
      </c>
      <c r="C23" s="77">
        <f>'Borulama Hesaplari'!E8&amp;" mm Cap"</f>
        <v/>
      </c>
      <c r="D23" s="77">
        <f>'Borulama Hesaplari'!B5</f>
        <v/>
      </c>
      <c r="E23" s="77" t="inlineStr">
        <is>
          <t>m</t>
        </is>
      </c>
    </row>
    <row r="24">
      <c r="A24" s="75" t="n">
        <v>3</v>
      </c>
      <c r="B24" s="76" t="inlineStr">
        <is>
          <t>45 derece Dirsek</t>
        </is>
      </c>
      <c r="C24" s="75">
        <f>'Borulama Hesaplari'!B10</f>
        <v/>
      </c>
      <c r="D24" s="75">
        <f>'Borulama Hesaplari'!B6</f>
        <v/>
      </c>
      <c r="E24" s="75" t="inlineStr">
        <is>
          <t>adet</t>
        </is>
      </c>
    </row>
    <row r="25">
      <c r="A25" s="77" t="n">
        <v>4</v>
      </c>
      <c r="B25" s="78" t="inlineStr">
        <is>
          <t>90 derece Dirsek</t>
        </is>
      </c>
      <c r="C25" s="77">
        <f>'Borulama Hesaplari'!B10</f>
        <v/>
      </c>
      <c r="D25" s="77">
        <f>'Borulama Hesaplari'!B7</f>
        <v/>
      </c>
      <c r="E25" s="77" t="inlineStr">
        <is>
          <t>adet</t>
        </is>
      </c>
    </row>
    <row r="26">
      <c r="A26" s="75" t="n">
        <v>5</v>
      </c>
      <c r="B26" s="76" t="inlineStr">
        <is>
          <t>T Baglanti</t>
        </is>
      </c>
      <c r="C26" s="75">
        <f>'Borulama Hesaplari'!B10</f>
        <v/>
      </c>
      <c r="D26" s="75">
        <f>'Borulama Hesaplari'!B8</f>
        <v/>
      </c>
      <c r="E26" s="75" t="inlineStr">
        <is>
          <t>adet</t>
        </is>
      </c>
    </row>
    <row r="27">
      <c r="A27" s="77" t="n">
        <v>6</v>
      </c>
      <c r="B27" s="78" t="inlineStr">
        <is>
          <t>Reduksiyon</t>
        </is>
      </c>
      <c r="C27" s="77">
        <f>'Borulama Hesaplari'!B10</f>
        <v/>
      </c>
      <c r="D27" s="77">
        <f>'Borulama Hesaplari'!B9</f>
        <v/>
      </c>
      <c r="E27" s="77" t="inlineStr">
        <is>
          <t>adet</t>
        </is>
      </c>
    </row>
    <row r="28">
      <c r="A28" s="75" t="n">
        <v>7</v>
      </c>
      <c r="B28" s="76" t="inlineStr">
        <is>
          <t>Filtre Unitesi</t>
        </is>
      </c>
      <c r="C28" s="75">
        <f>'Filtre Secimi'!B9&amp;" "&amp;'Filtre Secimi'!B10</f>
        <v/>
      </c>
      <c r="D28" s="75" t="inlineStr">
        <is>
          <t>1</t>
        </is>
      </c>
      <c r="E28" s="75" t="inlineStr">
        <is>
          <t>adet</t>
        </is>
      </c>
    </row>
    <row r="29">
      <c r="A29" s="77" t="n">
        <v>8</v>
      </c>
      <c r="B29" s="78" t="inlineStr">
        <is>
          <t>Fan (Aspirator)</t>
        </is>
      </c>
      <c r="C29" s="77">
        <f>'Fan Secimi'!B13&amp;" "&amp;'Fan Secimi'!B14</f>
        <v/>
      </c>
      <c r="D29" s="77" t="inlineStr">
        <is>
          <t>1</t>
        </is>
      </c>
      <c r="E29" s="77" t="inlineStr">
        <is>
          <t>adet</t>
        </is>
      </c>
    </row>
    <row r="31">
      <c r="A31" s="58" t="inlineStr">
        <is>
          <t>Bu teklif ozeti otomatik hesaplama araci ile olusturulmustur. Kesin fiyatlandirma ve teknik onay icin yetkili satis muhendisi ile gorusulmesi tavsiye edilir.</t>
        </is>
      </c>
    </row>
  </sheetData>
  <mergeCells count="14">
    <mergeCell ref="B26"/>
    <mergeCell ref="A20:E20"/>
    <mergeCell ref="B21"/>
    <mergeCell ref="B29"/>
    <mergeCell ref="B25"/>
    <mergeCell ref="B24"/>
    <mergeCell ref="A1:E1"/>
    <mergeCell ref="B27"/>
    <mergeCell ref="B28"/>
    <mergeCell ref="A8:E8"/>
    <mergeCell ref="B22"/>
    <mergeCell ref="A31:E31"/>
    <mergeCell ref="B2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2026-06-18T20:13:34Z</dcterms:created>
  <dcterms:modified xsi:type="dcterms:W3CDTF">2026-06-18T20:13:34Z</dcterms:modified>
</cp:coreProperties>
</file>